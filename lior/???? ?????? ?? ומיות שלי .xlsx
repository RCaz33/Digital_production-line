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orkrauzcazelles/Library/Mobile Documents/com~apple~CloudDocs/Documents/עבודה עם נסרין /שנתון שלטון מקומי/"/>
    </mc:Choice>
  </mc:AlternateContent>
  <xr:revisionPtr revIDLastSave="0" documentId="13_ncr:1_{78A3DCE5-6CB5-194F-B097-9A4002AE6FB6}" xr6:coauthVersionLast="47" xr6:coauthVersionMax="47" xr10:uidLastSave="{00000000-0000-0000-0000-000000000000}"/>
  <bookViews>
    <workbookView xWindow="0" yWindow="0" windowWidth="28800" windowHeight="18000" activeTab="3" xr2:uid="{E110BCBD-CB7F-714B-92EB-4EB81A216DE1}"/>
  </bookViews>
  <sheets>
    <sheet name="מגורים תושבים ערבים" sheetId="3" r:id="rId1"/>
    <sheet name="עיבודים" sheetId="2" r:id="rId2"/>
    <sheet name="מדד פריפריאלי" sheetId="8" r:id="rId3"/>
    <sheet name="חברתי כלכלי 21" sheetId="9" r:id="rId4"/>
    <sheet name="דאטה מקובץ הלמ״ס" sheetId="1" r:id="rId5"/>
    <sheet name="ארנונה" sheetId="5" r:id="rId6"/>
    <sheet name="תושבים ערבים" sheetId="4" r:id="rId7"/>
  </sheets>
  <calcPr calcId="191029"/>
  <pivotCaches>
    <pivotCache cacheId="17" r:id="rId8"/>
    <pivotCache cacheId="53" r:id="rId9"/>
    <pivotCache cacheId="11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5" l="1"/>
  <c r="D27" i="5"/>
  <c r="D26" i="5"/>
  <c r="C28" i="5"/>
  <c r="C26" i="5"/>
  <c r="C27" i="5"/>
  <c r="B28" i="5"/>
  <c r="B27" i="5"/>
  <c r="B26" i="5"/>
</calcChain>
</file>

<file path=xl/sharedStrings.xml><?xml version="1.0" encoding="utf-8"?>
<sst xmlns="http://schemas.openxmlformats.org/spreadsheetml/2006/main" count="1601" uniqueCount="373">
  <si>
    <t>אום אל-פחם</t>
  </si>
  <si>
    <t>אופקים</t>
  </si>
  <si>
    <t>אור יהודה</t>
  </si>
  <si>
    <t>אור עקיבא</t>
  </si>
  <si>
    <t>אילת</t>
  </si>
  <si>
    <t>אלעד</t>
  </si>
  <si>
    <t>אריאל</t>
  </si>
  <si>
    <t>אשדוד</t>
  </si>
  <si>
    <t>אשקלון</t>
  </si>
  <si>
    <t>באקה אל-גרביה</t>
  </si>
  <si>
    <t>באר יעקב</t>
  </si>
  <si>
    <t>באר שבע</t>
  </si>
  <si>
    <t>בית שאן</t>
  </si>
  <si>
    <t>בית שמש</t>
  </si>
  <si>
    <t>ביתר עילית</t>
  </si>
  <si>
    <t>בני ברק</t>
  </si>
  <si>
    <t>בת ים</t>
  </si>
  <si>
    <t>גבעת שמואל</t>
  </si>
  <si>
    <t>גבעתיים</t>
  </si>
  <si>
    <t>דימונה</t>
  </si>
  <si>
    <t>הוד השרון</t>
  </si>
  <si>
    <t>הרצלייה</t>
  </si>
  <si>
    <t>חדרה</t>
  </si>
  <si>
    <t>חולון</t>
  </si>
  <si>
    <t>חיפה</t>
  </si>
  <si>
    <t>חריש</t>
  </si>
  <si>
    <t>טבריה</t>
  </si>
  <si>
    <t>טייבה</t>
  </si>
  <si>
    <t>טירה</t>
  </si>
  <si>
    <t>טירת כרמל</t>
  </si>
  <si>
    <t>טמרה</t>
  </si>
  <si>
    <t>יבנה</t>
  </si>
  <si>
    <t>יהוד-מונוסון</t>
  </si>
  <si>
    <t>יקנעם עילית</t>
  </si>
  <si>
    <t>ירושלים</t>
  </si>
  <si>
    <t>כפר יונה</t>
  </si>
  <si>
    <t>כפר סבא</t>
  </si>
  <si>
    <t>כפר קאסם</t>
  </si>
  <si>
    <t>כרמיאל</t>
  </si>
  <si>
    <t>לוד</t>
  </si>
  <si>
    <t>מגאר</t>
  </si>
  <si>
    <t>מגדל העמק</t>
  </si>
  <si>
    <t>מודיעין-מכבים-רעות</t>
  </si>
  <si>
    <t>מודיעין עילית</t>
  </si>
  <si>
    <t>מעלה אדומים</t>
  </si>
  <si>
    <t>מעלות-תרשיחא</t>
  </si>
  <si>
    <t>נהרייה</t>
  </si>
  <si>
    <t>נוף הגליל</t>
  </si>
  <si>
    <t>נס ציונה</t>
  </si>
  <si>
    <t>נצרת</t>
  </si>
  <si>
    <t>נשר</t>
  </si>
  <si>
    <t>נתיבות</t>
  </si>
  <si>
    <t>נתניה</t>
  </si>
  <si>
    <t>סח'נין</t>
  </si>
  <si>
    <t>עכו</t>
  </si>
  <si>
    <t>עפולה</t>
  </si>
  <si>
    <t>עראבה</t>
  </si>
  <si>
    <t>ערד</t>
  </si>
  <si>
    <t>פתח תקווה</t>
  </si>
  <si>
    <t>צפת</t>
  </si>
  <si>
    <t>קלנסווה</t>
  </si>
  <si>
    <t>קריית אונו</t>
  </si>
  <si>
    <t>קריית אתא</t>
  </si>
  <si>
    <t>קריית ביאליק</t>
  </si>
  <si>
    <t>קריית גת</t>
  </si>
  <si>
    <t>קריית ים</t>
  </si>
  <si>
    <t>קריית מוצקין</t>
  </si>
  <si>
    <t>קריית מלאכי</t>
  </si>
  <si>
    <t>קריית שמונה</t>
  </si>
  <si>
    <t>ראש העין</t>
  </si>
  <si>
    <t>ראשון לציון</t>
  </si>
  <si>
    <t>רהט</t>
  </si>
  <si>
    <t>רחובות</t>
  </si>
  <si>
    <t>רמלה</t>
  </si>
  <si>
    <t>רמת גן</t>
  </si>
  <si>
    <t>רמת השרון</t>
  </si>
  <si>
    <t>רעננה</t>
  </si>
  <si>
    <t>שדרות</t>
  </si>
  <si>
    <t>שפרעם</t>
  </si>
  <si>
    <t>תל אביב -יפו</t>
  </si>
  <si>
    <t>אבו גוש</t>
  </si>
  <si>
    <t>אבו סנאן</t>
  </si>
  <si>
    <t>אבן יהודה</t>
  </si>
  <si>
    <t>אורנית</t>
  </si>
  <si>
    <t>אזור</t>
  </si>
  <si>
    <t>אכסאל</t>
  </si>
  <si>
    <t>אליכין</t>
  </si>
  <si>
    <t>אלפי מנשה</t>
  </si>
  <si>
    <t>אלקנה</t>
  </si>
  <si>
    <t>אעבלין</t>
  </si>
  <si>
    <t>אפרת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</si>
  <si>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</si>
  <si>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</si>
  <si>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</si>
  <si>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</si>
  <si>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</si>
  <si>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</si>
  <si>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</si>
  <si>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בני עי"ש</t>
  </si>
  <si>
    <t>בנימינה-גבעת עדה</t>
  </si>
  <si>
    <t>בסמ"ה</t>
  </si>
  <si>
    <t>בסמת טבעון</t>
  </si>
  <si>
    <t>בענה</t>
  </si>
  <si>
    <t>גבעת זאב</t>
  </si>
  <si>
    <t>ג'דיידה-מכר</t>
  </si>
  <si>
    <t>גדרה</t>
  </si>
  <si>
    <t>ג'ולס</t>
  </si>
  <si>
    <t>ג'לג'וליה</t>
  </si>
  <si>
    <t>גן יבנה</t>
  </si>
  <si>
    <t>גני תקווה</t>
  </si>
  <si>
    <t>ג'סר א-זרקא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</si>
  <si>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</si>
  <si>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</si>
  <si>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</si>
  <si>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</si>
  <si>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</si>
  <si>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</si>
  <si>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הר אדר</t>
  </si>
  <si>
    <t>זכרון יעקב</t>
  </si>
  <si>
    <t>זמר</t>
  </si>
  <si>
    <t>זרזיר</t>
  </si>
  <si>
    <t>חורה</t>
  </si>
  <si>
    <t>חורפיש</t>
  </si>
  <si>
    <t>חצור הגלילית</t>
  </si>
  <si>
    <t>טובא-זנגרייה</t>
  </si>
  <si>
    <t>טורעאן</t>
  </si>
  <si>
    <t>יאנוח-ג'ת</t>
  </si>
  <si>
    <t>יבנאל</t>
  </si>
  <si>
    <t>יסוד המעלה</t>
  </si>
  <si>
    <t>יפיע</t>
  </si>
  <si>
    <t>ירוחם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</si>
  <si>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</si>
  <si>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</si>
  <si>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</si>
  <si>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</si>
  <si>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</si>
  <si>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</si>
  <si>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</si>
  <si>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</si>
  <si>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ורדים</t>
  </si>
  <si>
    <t>כפר יאסיף</t>
  </si>
  <si>
    <t>כפר כמא</t>
  </si>
  <si>
    <t>כפר כנא</t>
  </si>
  <si>
    <t>כפר מנדא</t>
  </si>
  <si>
    <t>כפר קרע</t>
  </si>
  <si>
    <t>כפר שמריהו</t>
  </si>
  <si>
    <t>כפר תבור</t>
  </si>
  <si>
    <t>להבים</t>
  </si>
  <si>
    <t>לקיה</t>
  </si>
  <si>
    <t>מבשרת ציון</t>
  </si>
  <si>
    <t>מג'ד אל-כרום</t>
  </si>
  <si>
    <t>מגדל</t>
  </si>
  <si>
    <t>מג'דל שמס</t>
  </si>
  <si>
    <t>מזכרת בתיה</t>
  </si>
  <si>
    <t>מזרעה</t>
  </si>
  <si>
    <t>מטולה</t>
  </si>
  <si>
    <t>מיתר</t>
  </si>
  <si>
    <t>מסעדה</t>
  </si>
  <si>
    <t>מעיליא</t>
  </si>
  <si>
    <t>מעלה אפרים</t>
  </si>
  <si>
    <t>מעלה עירון</t>
  </si>
  <si>
    <t>מצפה רמון</t>
  </si>
  <si>
    <t>משהד</t>
  </si>
  <si>
    <t>נחף</t>
  </si>
  <si>
    <t>סאג'ור</t>
  </si>
  <si>
    <t>סביון</t>
  </si>
  <si>
    <t>ע'ג'ר</t>
  </si>
  <si>
    <t>עומר</t>
  </si>
  <si>
    <t>עיילבון</t>
  </si>
  <si>
    <t>עילוט</t>
  </si>
  <si>
    <t>עין מאהל</t>
  </si>
  <si>
    <t>עין קנייא</t>
  </si>
  <si>
    <t>עמנואל</t>
  </si>
  <si>
    <t>עספיא</t>
  </si>
  <si>
    <t>ערערה</t>
  </si>
  <si>
    <t>ערערה-בנגב</t>
  </si>
  <si>
    <t>פוריידיס</t>
  </si>
  <si>
    <t>פסוטה</t>
  </si>
  <si>
    <t>פקיעין (בוקייעה)</t>
  </si>
  <si>
    <t>פרדס חנה-כרכור</t>
  </si>
  <si>
    <t>פרדסייה</t>
  </si>
  <si>
    <t>קדומים</t>
  </si>
  <si>
    <t>קדימה-צורן</t>
  </si>
  <si>
    <t>קצרין</t>
  </si>
  <si>
    <t>קריית ארבע</t>
  </si>
  <si>
    <t>קריית טבעון</t>
  </si>
  <si>
    <t>קריית יערים</t>
  </si>
  <si>
    <t>קריית עקרון</t>
  </si>
  <si>
    <t>קרני שומרון</t>
  </si>
  <si>
    <t>ראמה</t>
  </si>
  <si>
    <t>ראש פינה</t>
  </si>
  <si>
    <t>ריינה</t>
  </si>
  <si>
    <t>רכסים</t>
  </si>
  <si>
    <t>רמת ישי</t>
  </si>
  <si>
    <t>שבלי - אום אל-גנם</t>
  </si>
  <si>
    <t>שגב-שלום</t>
  </si>
  <si>
    <t>שוהם</t>
  </si>
  <si>
    <t>שלומי</t>
  </si>
  <si>
    <t>שעב</t>
  </si>
  <si>
    <t>שער שומרון</t>
  </si>
  <si>
    <t>תל מונד</t>
  </si>
  <si>
    <t>תל שבע</t>
  </si>
  <si>
    <t>אל קסום</t>
  </si>
  <si>
    <t>אל-בטוף</t>
  </si>
  <si>
    <t>אלונה</t>
  </si>
  <si>
    <t>אשכול</t>
  </si>
  <si>
    <t>באר טוביה</t>
  </si>
  <si>
    <t>בוסתן אל-מרג'</t>
  </si>
  <si>
    <t>בני שמעון</t>
  </si>
  <si>
    <t>ברנר</t>
  </si>
  <si>
    <t>גדרות</t>
  </si>
  <si>
    <t>גולן</t>
  </si>
  <si>
    <t>גוש עציון</t>
  </si>
  <si>
    <t>גזר</t>
  </si>
  <si>
    <t>גן רווה</t>
  </si>
  <si>
    <t>דרום השרון</t>
  </si>
  <si>
    <t>הגלבוע</t>
  </si>
  <si>
    <t>הגליל העליון</t>
  </si>
  <si>
    <t>הגליל התחתון</t>
  </si>
  <si>
    <t>הערבה התיכונה</t>
  </si>
  <si>
    <t>הר חברון</t>
  </si>
  <si>
    <t>זבולון</t>
  </si>
  <si>
    <t>חבל אילות</t>
  </si>
  <si>
    <t>חבל יבנה</t>
  </si>
  <si>
    <t>חבל מודיעין</t>
  </si>
  <si>
    <t>חוף אשקלון</t>
  </si>
  <si>
    <t>חוף הכרמל</t>
  </si>
  <si>
    <t>חוף השרון</t>
  </si>
  <si>
    <t>יואב</t>
  </si>
  <si>
    <t>לב השרון</t>
  </si>
  <si>
    <t>לכיש</t>
  </si>
  <si>
    <t>מבואות החרמון</t>
  </si>
  <si>
    <t>מגידו</t>
  </si>
  <si>
    <t>מגילות ים המלח</t>
  </si>
  <si>
    <t>מטה אשר</t>
  </si>
  <si>
    <t>מטה בנימין</t>
  </si>
  <si>
    <t>מטה יהודה</t>
  </si>
  <si>
    <t>מנשה</t>
  </si>
  <si>
    <t>מעלה יוסף</t>
  </si>
  <si>
    <t>מרום הגליל</t>
  </si>
  <si>
    <t>מרחבים</t>
  </si>
  <si>
    <t>משגב</t>
  </si>
  <si>
    <t>נווה מדבר</t>
  </si>
  <si>
    <t>נחל שורק</t>
  </si>
  <si>
    <t>עמק הירדן</t>
  </si>
  <si>
    <t>עמק המעיינות</t>
  </si>
  <si>
    <t>עמק חפר</t>
  </si>
  <si>
    <t>עמק יזרעאל</t>
  </si>
  <si>
    <t>ערבות הירדן</t>
  </si>
  <si>
    <t>רמת נגב</t>
  </si>
  <si>
    <t>שדות דן</t>
  </si>
  <si>
    <t>שדות נגב</t>
  </si>
  <si>
    <t>שומרון</t>
  </si>
  <si>
    <t>שער הנגב</t>
  </si>
  <si>
    <t>שפיר</t>
  </si>
  <si>
    <t>תמר</t>
  </si>
  <si>
    <t>שם רשות מקומית</t>
  </si>
  <si>
    <t xml:space="preserve">מעמד מוניצפאלי </t>
  </si>
  <si>
    <t xml:space="preserve">סוג רשות </t>
  </si>
  <si>
    <t>עירייה</t>
  </si>
  <si>
    <t>ערבי</t>
  </si>
  <si>
    <t>יהודי</t>
  </si>
  <si>
    <t>מעורב</t>
  </si>
  <si>
    <t>מועצה מקומית</t>
  </si>
  <si>
    <t>מועצה אזורית</t>
  </si>
  <si>
    <t>כמות אוכלוסייה בסוף השנה (2022)</t>
  </si>
  <si>
    <t>סה"כ גברים בסוף השנה (2022)</t>
  </si>
  <si>
    <t>סה"כ נשים בסוף השנה (2022)</t>
  </si>
  <si>
    <t>אחוז באוכלוסייה בסוף השנה בני 0-4</t>
  </si>
  <si>
    <t>אחוז באוכלוסייה בסוף השנה בני 9-5</t>
  </si>
  <si>
    <t>אחוז באוכלוסייה בסוף השנה בני 14-10</t>
  </si>
  <si>
    <t>אחוז באוכלוסייה בסוף השנה בני 19-15</t>
  </si>
  <si>
    <t xml:space="preserve"> אחוז באוכלוסייה בסוף השנה בני 29-20</t>
  </si>
  <si>
    <t>אחוז באוכלוסייה בסוף השנה בני 44-30</t>
  </si>
  <si>
    <t>אחוז באוכלוסייה בסוף השנה בני 59-45</t>
  </si>
  <si>
    <t>אחוז באוכלוסייה בסוף השנה בני 64-60</t>
  </si>
  <si>
    <t>אחוז באוכלוסייה בסוף השנה בני 65 ומעלה</t>
  </si>
  <si>
    <t>אחוז באוכלוסייה בסוף השנה בני 17-0</t>
  </si>
  <si>
    <t>אחוז באוכלוסייה בסוף השנה בני 75 ומעלה</t>
  </si>
  <si>
    <t>מאזן הגירה ביישוב
סה"כ</t>
  </si>
  <si>
    <t>-</t>
  </si>
  <si>
    <t>מספר מקבלי דמי אבטלה 
(סה"כ שנתי)</t>
  </si>
  <si>
    <t>..</t>
  </si>
  <si>
    <t>התחלת בנייה שטח
(אלפי מ"ר)</t>
  </si>
  <si>
    <t>התחלת בנייה שטח למגורים
(אלפי מ"ר)</t>
  </si>
  <si>
    <t>התחלת בנייה - מספר דירות (2022)</t>
  </si>
  <si>
    <t>גמר בנייה שטח
(אלפי מ"ר)</t>
  </si>
  <si>
    <t>גמר בנייה שטח למגורים
(אלפי מ"ר)</t>
  </si>
  <si>
    <t>גמר בנייה- מספר דירות (2022)</t>
  </si>
  <si>
    <t>אחוז מסך כל שטח שיפוט לתעשייה (2022)</t>
  </si>
  <si>
    <t>בחירות לכנסת ה-25
01/11/22 אחוזי הצבעה</t>
  </si>
  <si>
    <t xml:space="preserve">דירוג אשכול פריפריאליות, 2020
(מ-1 עד 10, 1 הפריפריאלי ביותר) </t>
  </si>
  <si>
    <r>
      <t xml:space="preserve">התחלת בנייה: שטח (אלפי מ"ר) - סה"כ </t>
    </r>
    <r>
      <rPr>
        <b/>
        <sz val="9"/>
        <rFont val="Arial"/>
        <family val="2"/>
      </rPr>
      <t>2013</t>
    </r>
  </si>
  <si>
    <r>
      <t xml:space="preserve">התחלת בנייה: שטח  למגורים (אלפי מ"ר) </t>
    </r>
    <r>
      <rPr>
        <b/>
        <sz val="9"/>
        <rFont val="Arial"/>
        <family val="2"/>
      </rPr>
      <t>2013</t>
    </r>
  </si>
  <si>
    <r>
      <t xml:space="preserve">התחלת בנייה: מספר דירות </t>
    </r>
    <r>
      <rPr>
        <b/>
        <sz val="9"/>
        <rFont val="Arial"/>
        <family val="2"/>
      </rPr>
      <t>2013</t>
    </r>
  </si>
  <si>
    <r>
      <t xml:space="preserve">גמר בנייה: שטח (אלפי מ"ר) - סה"כ </t>
    </r>
    <r>
      <rPr>
        <b/>
        <sz val="9"/>
        <rFont val="Arial"/>
        <family val="2"/>
      </rPr>
      <t>2013</t>
    </r>
  </si>
  <si>
    <r>
      <t xml:space="preserve">גמר בנייה: שטח למגורים (אלפי מ"ר) </t>
    </r>
    <r>
      <rPr>
        <b/>
        <sz val="9"/>
        <rFont val="Arial"/>
        <family val="2"/>
      </rPr>
      <t>2013</t>
    </r>
  </si>
  <si>
    <r>
      <t xml:space="preserve">גמר בנייה: מספר דירות </t>
    </r>
    <r>
      <rPr>
        <b/>
        <sz val="9"/>
        <rFont val="Arial"/>
        <family val="2"/>
      </rPr>
      <t>2013</t>
    </r>
  </si>
  <si>
    <r>
      <t xml:space="preserve">סה"כ הוצאות של הרשות בתקציב רגיל (אלפי ש"ח) </t>
    </r>
    <r>
      <rPr>
        <b/>
        <sz val="9"/>
        <rFont val="Arial"/>
        <family val="2"/>
      </rPr>
      <t>2013</t>
    </r>
  </si>
  <si>
    <t>אשכול לפי המדד החברתי- כלכלי, 2021</t>
  </si>
  <si>
    <t>אשכול לפי המדד החברתי-כלכלי , 2019</t>
  </si>
  <si>
    <t>Column Labels</t>
  </si>
  <si>
    <t>Grand Total</t>
  </si>
  <si>
    <t>Row Labels</t>
  </si>
  <si>
    <t>Sum of מאזן הגירה ביישוב
סה"כ</t>
  </si>
  <si>
    <t>(blank)</t>
  </si>
  <si>
    <t>Count of שם רשות מקומית</t>
  </si>
  <si>
    <t>הוצאה לנפש בתקציב הרגיל (ש"ח), 2022</t>
  </si>
  <si>
    <t>סך הכל הכנסות מהממשלה (2022)</t>
  </si>
  <si>
    <t>הכנסות עצמיות: מארנונה (2022)</t>
  </si>
  <si>
    <t>סה"כ הכנסות עצמיות (2022)</t>
  </si>
  <si>
    <t>Sum of כמות אוכלוסייה בסוף השנה (2022)</t>
  </si>
  <si>
    <t>Sum of הוצאה לנפש בתקציב הרגיל (ש"ח), 2022</t>
  </si>
  <si>
    <t>Sum of סך הכל הכנסות מהממשלה (2022)</t>
  </si>
  <si>
    <t>Sum of הכנסות עצמיות: מארנונה (2022)</t>
  </si>
  <si>
    <t>ערבים (אחוזים)</t>
  </si>
  <si>
    <t>Sum of ערבים (אחוזים)</t>
  </si>
  <si>
    <t>כלל ארצי</t>
  </si>
  <si>
    <t>עיריות</t>
  </si>
  <si>
    <t>מועצות מקומיות</t>
  </si>
  <si>
    <t>מועצות אזוריות</t>
  </si>
  <si>
    <t>Column1</t>
  </si>
  <si>
    <t xml:space="preserve">מחוז </t>
  </si>
  <si>
    <t>הדרום</t>
  </si>
  <si>
    <t>המרכז</t>
  </si>
  <si>
    <t>הצפון</t>
  </si>
  <si>
    <t>תל אביב</t>
  </si>
  <si>
    <t>שם רשות</t>
  </si>
  <si>
    <t>מעמד מוניציפאלי</t>
  </si>
  <si>
    <t>Count of ערבים (אחוזים)</t>
  </si>
  <si>
    <t>סוג רשות</t>
  </si>
  <si>
    <t>אחוז בעלי תארים מישראל מתוך אוכלוסיית בני 55-35</t>
  </si>
  <si>
    <t>סיום בית ספר תיכון עם תעודת בגרות  (2021)</t>
  </si>
  <si>
    <t>Column2</t>
  </si>
  <si>
    <t>מלוות לאיזון</t>
  </si>
  <si>
    <t>סוג הארנונה</t>
  </si>
  <si>
    <t>נתונים לנפש ביישובים יהודים (ש״ח)</t>
  </si>
  <si>
    <t>נתונים לנפש ביישובים ערבים (ש״ח)</t>
  </si>
  <si>
    <t xml:space="preserve">ארנונה ממגורים </t>
  </si>
  <si>
    <t>סה"כ חיוב ארנונה - חיוב באלפי ₪</t>
  </si>
  <si>
    <t>למגורים</t>
  </si>
  <si>
    <t>למשרדים, שירותים ומסחר</t>
  </si>
  <si>
    <t>לתעשייה</t>
  </si>
  <si>
    <t>Sum of סה"כ חיוב ארנונה - חיוב באלפי ₪</t>
  </si>
  <si>
    <t>Sum of למגורים</t>
  </si>
  <si>
    <t>Sum of למשרדים, שירותים ומסחר</t>
  </si>
  <si>
    <t>Sum of לתעשייה</t>
  </si>
  <si>
    <t xml:space="preserve"> סה"כ חיוב ארנונה - חיוב באלפי ₪</t>
  </si>
  <si>
    <t>סוג יישוב</t>
  </si>
  <si>
    <t>אחוז חיובי ארנונה למגורים (מתוך סך חיובי ארנונה (באלפי ש״ח)</t>
  </si>
  <si>
    <t>אחוז חיובי ארנונה לתעשייה (מתוך סך חיובי ארנונה (באלפי ש״ח)</t>
  </si>
  <si>
    <t>אחוז חיובי ארנונה למשרדים, שירותים ומסחר (מתוך סך חיובי ארנונה (באלפי ש״ח)</t>
  </si>
  <si>
    <t>רשויות יהודיות</t>
  </si>
  <si>
    <t>רשויות מעורבות</t>
  </si>
  <si>
    <t>רשויות ערביות</t>
  </si>
  <si>
    <t>סה"כ הכנסות עצמיות</t>
  </si>
  <si>
    <t>הכנסות עצמיות: מארנונה</t>
  </si>
  <si>
    <t>ארנונה למגורים: סה"כ גביות</t>
  </si>
  <si>
    <t>ארנונה למגורים: סה"כ חיובים נטו</t>
  </si>
  <si>
    <t>ארנונה למגורים: יחס גבייה ב-% לכלל החיובים</t>
  </si>
  <si>
    <t>ארנונה למגורים: גבייה השנה (קרן + ריבית)</t>
  </si>
  <si>
    <t>ארנונה למגורים: חיוב בשנת החשבון</t>
  </si>
  <si>
    <t>ארנונה למגורים: יחס גבייה ב-% לחיוב השנה</t>
  </si>
  <si>
    <t>ארנונה למגורים: סה"כ פטורים, שחרורים והנחות</t>
  </si>
  <si>
    <t>ארנונה למגורים: גביית פיגורים (קרן + ריבית)</t>
  </si>
  <si>
    <t>ארנונה לא למגורים: 
גבייה</t>
  </si>
  <si>
    <t>Sum of מלוות לאיזון</t>
  </si>
  <si>
    <t>Sum of ארנונה למגורים: סה"כ גביות</t>
  </si>
  <si>
    <t>יתר הכנסות עצמיות</t>
  </si>
  <si>
    <t xml:space="preserve">סך הכל הכנסות מהממשלה </t>
  </si>
  <si>
    <t>ארנונה למגורים - סה"כ גביות</t>
  </si>
  <si>
    <t xml:space="preserve">Count of סוג רשות </t>
  </si>
  <si>
    <t xml:space="preserve">Count of דירוג אשכול פריפריאליות, 2020
(מ-1 עד 10, 1 הפריפריאלי ביותר)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</si>
</sst>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* #,##0_ ;_ * \-#,##0_ ;_ * &quot;-&quot;??_ ;_ @_ "/>
    <numFmt numFmtId="165" formatCode="0.0"/>
    <numFmt numFmtId="166" formatCode="#,##0.0"/>
    <numFmt numFmtId="171" formatCode="#,##0_ ;\-#,##0\ "/>
  </numFmts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"/>
      <color theme="0"/>
      <name val="Arial"/>
      <family val="2"/>
    </font>
    <font>
      <sz val="11"/>
      <color rgb="FF000000"/>
      <name val="Calibri"/>
      <family val="2"/>
      <charset val="177"/>
    </font>
    <font>
      <sz val="9"/>
      <name val="Arial"/>
      <family val="2"/>
    </font>
    <font>
      <sz val="8"/>
      <name val="Aptos Narrow"/>
      <family val="2"/>
      <scheme val="minor"/>
    </font>
    <font>
      <sz val="9"/>
      <color theme="0"/>
      <name val="Arial"/>
      <family val="2"/>
      <charset val="177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  <charset val="177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FFFF"/>
      <name val="Aptos Narrow"/>
      <family val="2"/>
      <scheme val="minor"/>
    </font>
    <font>
      <sz val="8"/>
      <color theme="0"/>
      <name val="Arial"/>
      <family val="2"/>
    </font>
    <font>
      <i/>
      <sz val="12"/>
      <color theme="1"/>
      <name val="Helvetica"/>
      <family val="2"/>
    </font>
    <font>
      <b/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969696"/>
        <bgColor indexed="64"/>
      </patternFill>
    </fill>
    <fill>
      <patternFill patternType="solid">
        <fgColor rgb="FF777777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74706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8F5F8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538DD5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3C7D22"/>
        <bgColor rgb="FF000000"/>
      </patternFill>
    </fill>
    <fill>
      <patternFill patternType="solid">
        <fgColor rgb="FF990033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6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/>
      <top style="thin">
        <color rgb="FF7BA79D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A02B93"/>
      </top>
      <bottom style="thin">
        <color rgb="FF44B3E1"/>
      </bottom>
      <diagonal/>
    </border>
    <border>
      <left/>
      <right/>
      <top style="thin">
        <color rgb="FF7BA79D"/>
      </top>
      <bottom style="thin">
        <color rgb="FF44B3E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9" fillId="0" borderId="0"/>
    <xf numFmtId="0" fontId="9" fillId="0" borderId="0"/>
    <xf numFmtId="9" fontId="1" fillId="0" borderId="0" applyFont="0" applyFill="0" applyBorder="0" applyAlignment="0" applyProtection="0"/>
    <xf numFmtId="0" fontId="9" fillId="0" borderId="0"/>
  </cellStyleXfs>
  <cellXfs count="98">
    <xf numFmtId="0" fontId="0" fillId="0" borderId="0" xfId="0"/>
    <xf numFmtId="0" fontId="3" fillId="2" borderId="0" xfId="0" applyFont="1" applyFill="1" applyAlignment="1">
      <alignment horizontal="right" readingOrder="2"/>
    </xf>
    <xf numFmtId="0" fontId="3" fillId="2" borderId="1" xfId="0" applyFont="1" applyFill="1" applyBorder="1" applyAlignment="1">
      <alignment horizontal="right" readingOrder="2"/>
    </xf>
    <xf numFmtId="0" fontId="3" fillId="3" borderId="0" xfId="0" applyFont="1" applyFill="1" applyAlignment="1">
      <alignment horizontal="right" readingOrder="2"/>
    </xf>
    <xf numFmtId="0" fontId="3" fillId="3" borderId="1" xfId="0" applyFont="1" applyFill="1" applyBorder="1" applyAlignment="1">
      <alignment horizontal="right" readingOrder="2"/>
    </xf>
    <xf numFmtId="0" fontId="3" fillId="4" borderId="0" xfId="0" quotePrefix="1" applyFont="1" applyFill="1" applyAlignment="1">
      <alignment horizontal="right" vertical="top"/>
    </xf>
    <xf numFmtId="0" fontId="3" fillId="4" borderId="2" xfId="0" quotePrefix="1" applyFont="1" applyFill="1" applyBorder="1" applyAlignment="1">
      <alignment horizontal="right" vertical="top"/>
    </xf>
    <xf numFmtId="0" fontId="0" fillId="0" borderId="3" xfId="0" applyBorder="1"/>
    <xf numFmtId="0" fontId="3" fillId="6" borderId="0" xfId="0" applyFont="1" applyFill="1" applyAlignment="1">
      <alignment horizontal="right" readingOrder="2"/>
    </xf>
    <xf numFmtId="0" fontId="0" fillId="0" borderId="4" xfId="0" applyBorder="1"/>
    <xf numFmtId="0" fontId="2" fillId="6" borderId="3" xfId="0" applyFont="1" applyFill="1" applyBorder="1"/>
    <xf numFmtId="0" fontId="4" fillId="0" borderId="5" xfId="0" applyFont="1" applyBorder="1" applyAlignment="1">
      <alignment readingOrder="2"/>
    </xf>
    <xf numFmtId="164" fontId="5" fillId="0" borderId="0" xfId="1" applyNumberFormat="1" applyFont="1" applyFill="1" applyBorder="1" applyAlignment="1">
      <alignment horizontal="right"/>
    </xf>
    <xf numFmtId="164" fontId="5" fillId="0" borderId="1" xfId="1" applyNumberFormat="1" applyFont="1" applyFill="1" applyBorder="1" applyAlignment="1">
      <alignment horizontal="right"/>
    </xf>
    <xf numFmtId="0" fontId="0" fillId="0" borderId="0" xfId="0" applyAlignment="1">
      <alignment wrapText="1"/>
    </xf>
    <xf numFmtId="165" fontId="5" fillId="0" borderId="0" xfId="0" applyNumberFormat="1" applyFont="1" applyAlignment="1">
      <alignment horizontal="right"/>
    </xf>
    <xf numFmtId="165" fontId="5" fillId="0" borderId="8" xfId="0" applyNumberFormat="1" applyFont="1" applyBorder="1" applyAlignment="1">
      <alignment horizontal="right"/>
    </xf>
    <xf numFmtId="164" fontId="5" fillId="0" borderId="8" xfId="1" applyNumberFormat="1" applyFont="1" applyFill="1" applyBorder="1" applyAlignment="1">
      <alignment horizontal="right"/>
    </xf>
    <xf numFmtId="0" fontId="3" fillId="7" borderId="10" xfId="0" applyFont="1" applyFill="1" applyBorder="1" applyAlignment="1">
      <alignment horizontal="center" vertical="top" wrapText="1" readingOrder="2"/>
    </xf>
    <xf numFmtId="165" fontId="5" fillId="0" borderId="0" xfId="1" applyNumberFormat="1" applyFont="1" applyFill="1" applyAlignment="1">
      <alignment horizontal="right"/>
    </xf>
    <xf numFmtId="0" fontId="3" fillId="8" borderId="0" xfId="0" applyFont="1" applyFill="1" applyAlignment="1">
      <alignment horizontal="center" vertical="top" wrapText="1" readingOrder="2"/>
    </xf>
    <xf numFmtId="0" fontId="7" fillId="9" borderId="7" xfId="0" applyFont="1" applyFill="1" applyBorder="1" applyAlignment="1">
      <alignment horizontal="center" vertical="center" wrapText="1" readingOrder="2"/>
    </xf>
    <xf numFmtId="0" fontId="7" fillId="9" borderId="8" xfId="0" applyFont="1" applyFill="1" applyBorder="1" applyAlignment="1">
      <alignment horizontal="center" vertical="center" wrapText="1" readingOrder="2"/>
    </xf>
    <xf numFmtId="0" fontId="7" fillId="9" borderId="9" xfId="0" applyFont="1" applyFill="1" applyBorder="1" applyAlignment="1">
      <alignment horizontal="center" vertical="center" wrapText="1" readingOrder="2"/>
    </xf>
    <xf numFmtId="165" fontId="5" fillId="0" borderId="0" xfId="1" applyNumberFormat="1" applyFont="1" applyFill="1" applyBorder="1" applyAlignment="1">
      <alignment horizontal="right"/>
    </xf>
    <xf numFmtId="165" fontId="5" fillId="0" borderId="8" xfId="1" applyNumberFormat="1" applyFont="1" applyFill="1" applyBorder="1" applyAlignment="1">
      <alignment horizontal="right"/>
    </xf>
    <xf numFmtId="0" fontId="3" fillId="10" borderId="0" xfId="0" applyFont="1" applyFill="1" applyAlignment="1">
      <alignment horizontal="center" vertical="top" wrapText="1" readingOrder="2"/>
    </xf>
    <xf numFmtId="0" fontId="5" fillId="0" borderId="0" xfId="0" applyFont="1" applyAlignment="1">
      <alignment horizontal="right"/>
    </xf>
    <xf numFmtId="0" fontId="5" fillId="0" borderId="8" xfId="0" applyFont="1" applyBorder="1" applyAlignment="1">
      <alignment horizontal="right"/>
    </xf>
    <xf numFmtId="0" fontId="5" fillId="11" borderId="0" xfId="0" applyFont="1" applyFill="1" applyAlignment="1">
      <alignment horizontal="center" vertical="top" wrapText="1" readingOrder="2"/>
    </xf>
    <xf numFmtId="0" fontId="7" fillId="12" borderId="9" xfId="0" applyFont="1" applyFill="1" applyBorder="1" applyAlignment="1">
      <alignment horizontal="center" vertical="center" wrapText="1" readingOrder="2"/>
    </xf>
    <xf numFmtId="166" fontId="10" fillId="0" borderId="0" xfId="3" applyNumberFormat="1" applyFont="1" applyAlignment="1">
      <alignment horizontal="right"/>
    </xf>
    <xf numFmtId="166" fontId="10" fillId="0" borderId="8" xfId="3" applyNumberFormat="1" applyFont="1" applyBorder="1" applyAlignment="1">
      <alignment horizontal="right"/>
    </xf>
    <xf numFmtId="165" fontId="10" fillId="0" borderId="0" xfId="3" applyNumberFormat="1" applyFont="1" applyAlignment="1">
      <alignment horizontal="right"/>
    </xf>
    <xf numFmtId="0" fontId="11" fillId="13" borderId="6" xfId="0" applyFont="1" applyFill="1" applyBorder="1" applyAlignment="1">
      <alignment horizontal="center" vertical="top" wrapText="1"/>
    </xf>
    <xf numFmtId="0" fontId="5" fillId="14" borderId="11" xfId="0" applyFont="1" applyFill="1" applyBorder="1" applyAlignment="1">
      <alignment horizontal="center" vertical="top" wrapText="1" readingOrder="2"/>
    </xf>
    <xf numFmtId="0" fontId="5" fillId="14" borderId="0" xfId="0" applyFont="1" applyFill="1" applyAlignment="1">
      <alignment horizontal="center" vertical="top" wrapText="1" readingOrder="2"/>
    </xf>
    <xf numFmtId="0" fontId="5" fillId="0" borderId="11" xfId="0" applyFont="1" applyBorder="1" applyAlignment="1">
      <alignment readingOrder="1"/>
    </xf>
    <xf numFmtId="0" fontId="5" fillId="0" borderId="0" xfId="0" applyFont="1" applyAlignment="1">
      <alignment readingOrder="1"/>
    </xf>
    <xf numFmtId="0" fontId="5" fillId="0" borderId="0" xfId="1" applyNumberFormat="1" applyFont="1" applyBorder="1" applyAlignment="1">
      <alignment readingOrder="1"/>
    </xf>
    <xf numFmtId="3" fontId="5" fillId="0" borderId="0" xfId="1" applyNumberFormat="1" applyFont="1" applyBorder="1" applyAlignment="1">
      <alignment readingOrder="1"/>
    </xf>
    <xf numFmtId="165" fontId="5" fillId="0" borderId="12" xfId="1" applyNumberFormat="1" applyFont="1" applyFill="1" applyBorder="1" applyAlignment="1">
      <alignment horizontal="right"/>
    </xf>
    <xf numFmtId="3" fontId="10" fillId="0" borderId="0" xfId="2" applyNumberFormat="1" applyFont="1" applyAlignment="1">
      <alignment horizontal="right"/>
    </xf>
    <xf numFmtId="165" fontId="5" fillId="5" borderId="0" xfId="1" applyNumberFormat="1" applyFont="1" applyFill="1" applyAlignment="1">
      <alignment horizontal="right"/>
    </xf>
    <xf numFmtId="0" fontId="10" fillId="0" borderId="0" xfId="2" applyFont="1"/>
    <xf numFmtId="0" fontId="10" fillId="5" borderId="0" xfId="2" applyFont="1" applyFill="1"/>
    <xf numFmtId="165" fontId="10" fillId="0" borderId="0" xfId="2" applyNumberFormat="1" applyFont="1"/>
    <xf numFmtId="166" fontId="10" fillId="0" borderId="0" xfId="2" applyNumberFormat="1" applyFont="1"/>
    <xf numFmtId="0" fontId="10" fillId="5" borderId="0" xfId="2" applyFont="1" applyFill="1" applyAlignment="1">
      <alignment horizontal="right"/>
    </xf>
    <xf numFmtId="0" fontId="5" fillId="0" borderId="13" xfId="0" quotePrefix="1" applyFont="1" applyBorder="1" applyAlignment="1">
      <alignment horizontal="center" vertical="center"/>
    </xf>
    <xf numFmtId="0" fontId="10" fillId="0" borderId="13" xfId="0" quotePrefix="1" applyFont="1" applyBorder="1" applyAlignment="1">
      <alignment horizontal="center" vertical="center"/>
    </xf>
    <xf numFmtId="0" fontId="10" fillId="0" borderId="14" xfId="0" quotePrefix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0" fontId="8" fillId="15" borderId="15" xfId="0" applyFont="1" applyFill="1" applyBorder="1" applyAlignment="1">
      <alignment horizontal="center" vertical="center" wrapText="1" readingOrder="2"/>
    </xf>
    <xf numFmtId="0" fontId="5" fillId="15" borderId="15" xfId="0" applyFont="1" applyFill="1" applyBorder="1" applyAlignment="1">
      <alignment horizontal="center" vertical="center" wrapText="1" readingOrder="2"/>
    </xf>
    <xf numFmtId="165" fontId="5" fillId="0" borderId="13" xfId="1" applyNumberFormat="1" applyFont="1" applyFill="1" applyBorder="1" applyAlignment="1">
      <alignment horizontal="right"/>
    </xf>
    <xf numFmtId="0" fontId="5" fillId="0" borderId="0" xfId="0" quotePrefix="1" applyFont="1" applyAlignment="1">
      <alignment horizontal="center" vertical="center"/>
    </xf>
    <xf numFmtId="3" fontId="5" fillId="0" borderId="0" xfId="1" applyNumberFormat="1" applyFont="1" applyFill="1" applyBorder="1" applyAlignment="1">
      <alignment horizontal="center" vertical="center" wrapText="1" readingOrder="1"/>
    </xf>
    <xf numFmtId="3" fontId="5" fillId="0" borderId="16" xfId="1" applyNumberFormat="1" applyFont="1" applyFill="1" applyBorder="1" applyAlignment="1">
      <alignment horizontal="center" vertical="center" wrapText="1" readingOrder="1"/>
    </xf>
    <xf numFmtId="3" fontId="5" fillId="0" borderId="8" xfId="1" applyNumberFormat="1" applyFont="1" applyFill="1" applyBorder="1" applyAlignment="1">
      <alignment horizontal="center" vertical="center" wrapText="1" readingOrder="1"/>
    </xf>
    <xf numFmtId="165" fontId="5" fillId="0" borderId="16" xfId="1" applyNumberFormat="1" applyFont="1" applyFill="1" applyBorder="1" applyAlignment="1">
      <alignment horizontal="right"/>
    </xf>
    <xf numFmtId="0" fontId="5" fillId="16" borderId="15" xfId="0" quotePrefix="1" applyFont="1" applyFill="1" applyBorder="1" applyAlignment="1">
      <alignment horizontal="center" vertical="center" wrapText="1" readingOrder="2"/>
    </xf>
    <xf numFmtId="3" fontId="0" fillId="0" borderId="0" xfId="0" applyNumberFormat="1"/>
    <xf numFmtId="0" fontId="11" fillId="17" borderId="15" xfId="0" applyFont="1" applyFill="1" applyBorder="1" applyAlignment="1">
      <alignment horizontal="center" vertical="center" wrapText="1" readingOrder="2"/>
    </xf>
    <xf numFmtId="0" fontId="12" fillId="18" borderId="17" xfId="0" applyFont="1" applyFill="1" applyBorder="1"/>
    <xf numFmtId="0" fontId="0" fillId="0" borderId="0" xfId="0" applyNumberFormat="1"/>
    <xf numFmtId="165" fontId="0" fillId="0" borderId="0" xfId="0" applyNumberFormat="1"/>
    <xf numFmtId="0" fontId="3" fillId="7" borderId="0" xfId="0" applyFont="1" applyFill="1" applyAlignment="1">
      <alignment horizontal="center" vertical="top" wrapText="1" readingOrder="2"/>
    </xf>
    <xf numFmtId="165" fontId="8" fillId="3" borderId="15" xfId="0" applyNumberFormat="1" applyFont="1" applyFill="1" applyBorder="1" applyAlignment="1">
      <alignment horizontal="right"/>
    </xf>
    <xf numFmtId="0" fontId="3" fillId="7" borderId="15" xfId="0" applyFont="1" applyFill="1" applyBorder="1" applyAlignment="1">
      <alignment horizontal="center" vertical="top" wrapText="1" readingOrder="2"/>
    </xf>
    <xf numFmtId="0" fontId="3" fillId="19" borderId="0" xfId="0" applyFont="1" applyFill="1" applyAlignment="1">
      <alignment horizontal="center" vertical="top" wrapText="1" readingOrder="2"/>
    </xf>
    <xf numFmtId="0" fontId="10" fillId="0" borderId="0" xfId="5" applyFont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3" fillId="3" borderId="8" xfId="0" applyFont="1" applyFill="1" applyBorder="1" applyAlignment="1">
      <alignment horizontal="right" readingOrder="2"/>
    </xf>
    <xf numFmtId="0" fontId="13" fillId="20" borderId="19" xfId="0" applyFont="1" applyFill="1" applyBorder="1" applyAlignment="1">
      <alignment readingOrder="2"/>
    </xf>
    <xf numFmtId="0" fontId="13" fillId="0" borderId="19" xfId="0" applyFont="1" applyBorder="1" applyAlignment="1">
      <alignment readingOrder="2"/>
    </xf>
    <xf numFmtId="0" fontId="4" fillId="0" borderId="20" xfId="0" applyFont="1" applyBorder="1" applyAlignment="1">
      <alignment readingOrder="2"/>
    </xf>
    <xf numFmtId="0" fontId="4" fillId="20" borderId="20" xfId="0" applyFont="1" applyFill="1" applyBorder="1" applyAlignment="1">
      <alignment readingOrder="2"/>
    </xf>
    <xf numFmtId="0" fontId="14" fillId="21" borderId="19" xfId="0" applyFont="1" applyFill="1" applyBorder="1" applyAlignment="1">
      <alignment readingOrder="2"/>
    </xf>
    <xf numFmtId="0" fontId="15" fillId="22" borderId="8" xfId="0" quotePrefix="1" applyFont="1" applyFill="1" applyBorder="1" applyAlignment="1">
      <alignment horizontal="center" vertical="top" wrapText="1" readingOrder="2"/>
    </xf>
    <xf numFmtId="0" fontId="5" fillId="23" borderId="0" xfId="0" applyFont="1" applyFill="1" applyAlignment="1">
      <alignment horizontal="center" vertical="top" wrapText="1"/>
    </xf>
    <xf numFmtId="171" fontId="5" fillId="0" borderId="0" xfId="1" applyNumberFormat="1" applyFont="1" applyFill="1" applyBorder="1" applyAlignment="1">
      <alignment horizontal="center" vertical="center" wrapText="1" readingOrder="1"/>
    </xf>
    <xf numFmtId="171" fontId="5" fillId="0" borderId="16" xfId="1" applyNumberFormat="1" applyFont="1" applyFill="1" applyBorder="1" applyAlignment="1">
      <alignment horizontal="center" vertical="center" wrapText="1" readingOrder="1"/>
    </xf>
    <xf numFmtId="171" fontId="5" fillId="0" borderId="8" xfId="1" applyNumberFormat="1" applyFont="1" applyFill="1" applyBorder="1" applyAlignment="1">
      <alignment horizontal="center" vertical="center" wrapText="1" readingOrder="1"/>
    </xf>
    <xf numFmtId="0" fontId="16" fillId="0" borderId="0" xfId="0" applyFont="1"/>
    <xf numFmtId="0" fontId="17" fillId="24" borderId="15" xfId="0" applyFont="1" applyFill="1" applyBorder="1" applyAlignment="1">
      <alignment horizontal="center" vertical="center" wrapText="1" readingOrder="2"/>
    </xf>
    <xf numFmtId="0" fontId="5" fillId="24" borderId="15" xfId="0" applyFont="1" applyFill="1" applyBorder="1" applyAlignment="1">
      <alignment horizontal="center" vertical="center" wrapText="1" readingOrder="2"/>
    </xf>
    <xf numFmtId="165" fontId="12" fillId="18" borderId="18" xfId="0" applyNumberFormat="1" applyFont="1" applyFill="1" applyBorder="1"/>
    <xf numFmtId="3" fontId="12" fillId="18" borderId="18" xfId="0" applyNumberFormat="1" applyFont="1" applyFill="1" applyBorder="1"/>
    <xf numFmtId="0" fontId="5" fillId="16" borderId="15" xfId="0" quotePrefix="1" applyFont="1" applyFill="1" applyBorder="1" applyAlignment="1">
      <alignment horizontal="center" vertical="center" wrapText="1"/>
    </xf>
    <xf numFmtId="171" fontId="17" fillId="0" borderId="0" xfId="0" applyNumberFormat="1" applyFont="1" applyAlignment="1">
      <alignment horizontal="center" vertical="center" wrapText="1" readingOrder="1"/>
    </xf>
    <xf numFmtId="9" fontId="17" fillId="0" borderId="0" xfId="4" applyFont="1" applyFill="1" applyBorder="1" applyAlignment="1">
      <alignment horizontal="center" vertical="center" wrapText="1" readingOrder="1"/>
    </xf>
    <xf numFmtId="0" fontId="3" fillId="7" borderId="15" xfId="0" quotePrefix="1" applyFont="1" applyFill="1" applyBorder="1" applyAlignment="1">
      <alignment horizontal="center" vertical="top" wrapText="1" readingOrder="2"/>
    </xf>
    <xf numFmtId="171" fontId="0" fillId="0" borderId="0" xfId="0" applyNumberFormat="1"/>
    <xf numFmtId="0" fontId="5" fillId="15" borderId="0" xfId="0" applyFont="1" applyFill="1" applyAlignment="1">
      <alignment horizontal="center" vertical="center" wrapText="1" readingOrder="2"/>
    </xf>
  </cellXfs>
  <cellStyles count="6">
    <cellStyle name="Comma" xfId="1" builtinId="3"/>
    <cellStyle name="Normal" xfId="0" builtinId="0"/>
    <cellStyle name="Normal_מ.אזורית2_14" xfId="5" xr:uid="{98A48E13-3B2D-7744-BD9B-17BD41E464E7}"/>
    <cellStyle name="Normal_מקומיות 2" xfId="2" xr:uid="{DD82120F-52FC-9D4E-8155-D5DEB8F798B1}"/>
    <cellStyle name="Normal_עיריה_מק_14_ממויין_1" xfId="3" xr:uid="{537E09A3-0E26-9B49-9815-0B6E3C45AAC8}"/>
    <cellStyle name="Per cent" xfId="4" builtinId="5"/>
  </cellStyles>
  <dxfs count="71">
    <dxf>
      <font>
        <sz val="9"/>
        <color auto="1"/>
        <name val="Arial"/>
        <scheme val="none"/>
      </font>
      <fill>
        <patternFill patternType="solid">
          <fgColor indexed="64"/>
          <bgColor theme="8" tint="0.59999389629810485"/>
        </patternFill>
      </fill>
      <alignment horizontal="center" vertical="center" wrapText="1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4D4D4D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#,##0_ ;\-#,##0\ "/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rgb="FF77777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#,##0_ ;\-#,##0\ 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#,##0_ ;\-#,##0\ 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#,##0_ ;\-#,##0\ 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#,##0_ ;\-#,##0\ 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#,##0_ ;\-#,##0\ 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#,##0_ ;\-#,##0\ 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#,##0_ ;\-#,##0\ 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#,##0_ ;\-#,##0\ 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#,##0_ ;\-#,##0\ 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#,##0_ ;\-#,##0\ 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166" formatCode="#,#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4D4D4D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4BACC6"/>
        </patternFill>
      </fill>
      <alignment horizontal="center" vertical="top" textRotation="0" wrapText="1" indent="0" justifyLastLine="0" shrinkToFit="0" readingOrder="2"/>
    </dxf>
  </dxfs>
  <tableStyles count="0" defaultTableStyle="TableStyleMedium2" defaultPivotStyle="PivotStyleLight16"/>
  <colors>
    <mruColors>
      <color rgb="FF1775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[קובץ רשויות מקומיות שלי .xlsx]מגורים תושבים ערבים!PivotTable2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dLbl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'מגורים תושבים ערבים'!$B$3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82-C54B-9DB7-C6470CB42D75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F82-C54B-9DB7-C6470CB42D75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F82-C54B-9DB7-C6470CB42D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'מגורים תושבים ערבים'!$A$4:$A$7</c:f>
              <c:strCache>
                <c:ptCount val="3"/>
                <c:pt idx="0">
                  <c:v>מועצות מקומיות</c:v>
                </c:pt>
                <c:pt idx="1">
                  <c:v>עיריות</c:v>
                </c:pt>
                <c:pt idx="2">
                  <c:v>מועצות אזוריות</c:v>
                </c:pt>
              </c:strCache>
            </c:strRef>
          </c:cat>
          <c:val>
            <c:numRef>
              <c:f>'מגורים תושבים ערבים'!$B$4:$B$7</c:f>
              <c:numCache>
                <c:formatCode>0.00%</c:formatCode>
                <c:ptCount val="3"/>
                <c:pt idx="0">
                  <c:v>0.69926650366748178</c:v>
                </c:pt>
                <c:pt idx="1">
                  <c:v>0.18337408312958436</c:v>
                </c:pt>
                <c:pt idx="2">
                  <c:v>0.11735941320293398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2-C54B-9DB7-C6470CB42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[קובץ רשויות מקומיות שלי .xlsx]עיבודים!PivotTable8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עיבודים!$B$3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עיבודים!$A$4:$A$7</c:f>
              <c:strCache>
                <c:ptCount val="3"/>
                <c:pt idx="0">
                  <c:v>יהודי</c:v>
                </c:pt>
                <c:pt idx="1">
                  <c:v>מעורב</c:v>
                </c:pt>
                <c:pt idx="2">
                  <c:v>ערבי</c:v>
                </c:pt>
              </c:strCache>
            </c:strRef>
          </c:cat>
          <c:val>
            <c:numRef>
              <c:f>עיבודים!$B$4:$B$7</c:f>
              <c:numCache>
                <c:formatCode>0.00%</c:formatCode>
                <c:ptCount val="3"/>
                <c:pt idx="0">
                  <c:v>0.92089113380427756</c:v>
                </c:pt>
                <c:pt idx="1">
                  <c:v>8.1902809804423951E-2</c:v>
                </c:pt>
                <c:pt idx="2">
                  <c:v>-2.7939436087014873E-3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1-8240-86D9-CBA13E59F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568655"/>
        <c:axId val="24778560"/>
      </c:barChart>
      <c:catAx>
        <c:axId val="70156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4778560"/>
        <c:crosses val="autoZero"/>
        <c:auto val="1"/>
        <c:lblAlgn val="ctr"/>
        <c:lblOffset val="100"/>
        <c:noMultiLvlLbl val="0"/>
      </c:catAx>
      <c:valAx>
        <c:axId val="2477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70156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[קובץ רשויות מקומיות שלי .xlsx]עיבודים!PivotTable9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1775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5">
              <a:lumMod val="20000"/>
              <a:lumOff val="8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6811804331823962E-2"/>
          <c:y val="4.3165467625899283E-2"/>
          <c:w val="0.88644386696705402"/>
          <c:h val="0.877272418285843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עיבודים!$B$17:$B$18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עיבודים!$A$19:$A$22</c:f>
              <c:strCache>
                <c:ptCount val="3"/>
                <c:pt idx="0">
                  <c:v>יהודי</c:v>
                </c:pt>
                <c:pt idx="1">
                  <c:v>מעורב</c:v>
                </c:pt>
                <c:pt idx="2">
                  <c:v>ערבי</c:v>
                </c:pt>
              </c:strCache>
            </c:strRef>
          </c:cat>
          <c:val>
            <c:numRef>
              <c:f>עיבודים!$B$19:$B$22</c:f>
              <c:numCache>
                <c:formatCode>General</c:formatCode>
                <c:ptCount val="3"/>
                <c:pt idx="0">
                  <c:v>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A20-4B4B-BE28-0B4E1F86AB40}"/>
            </c:ext>
          </c:extLst>
        </c:ser>
        <c:ser>
          <c:idx val="1"/>
          <c:order val="1"/>
          <c:tx>
            <c:strRef>
              <c:f>עיבודים!$C$17:$C$18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עיבודים!$A$19:$A$22</c:f>
              <c:strCache>
                <c:ptCount val="3"/>
                <c:pt idx="0">
                  <c:v>יהודי</c:v>
                </c:pt>
                <c:pt idx="1">
                  <c:v>מעורב</c:v>
                </c:pt>
                <c:pt idx="2">
                  <c:v>ערבי</c:v>
                </c:pt>
              </c:strCache>
            </c:strRef>
          </c:cat>
          <c:val>
            <c:numRef>
              <c:f>עיבודים!$C$19:$C$22</c:f>
              <c:numCache>
                <c:formatCode>General</c:formatCode>
                <c:ptCount val="3"/>
                <c:pt idx="0">
                  <c:v>9</c:v>
                </c:pt>
                <c:pt idx="1">
                  <c:v>1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BA20-4B4B-BE28-0B4E1F86AB40}"/>
            </c:ext>
          </c:extLst>
        </c:ser>
        <c:ser>
          <c:idx val="2"/>
          <c:order val="2"/>
          <c:tx>
            <c:strRef>
              <c:f>עיבודים!$D$17:$D$18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עיבודים!$A$19:$A$22</c:f>
              <c:strCache>
                <c:ptCount val="3"/>
                <c:pt idx="0">
                  <c:v>יהודי</c:v>
                </c:pt>
                <c:pt idx="1">
                  <c:v>מעורב</c:v>
                </c:pt>
                <c:pt idx="2">
                  <c:v>ערבי</c:v>
                </c:pt>
              </c:strCache>
            </c:strRef>
          </c:cat>
          <c:val>
            <c:numRef>
              <c:f>עיבודים!$D$19:$D$22</c:f>
              <c:numCache>
                <c:formatCode>General</c:formatCode>
                <c:ptCount val="3"/>
                <c:pt idx="0">
                  <c:v>8</c:v>
                </c:pt>
                <c:pt idx="1">
                  <c:v>1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BA20-4B4B-BE28-0B4E1F86AB40}"/>
            </c:ext>
          </c:extLst>
        </c:ser>
        <c:ser>
          <c:idx val="3"/>
          <c:order val="3"/>
          <c:tx>
            <c:strRef>
              <c:f>עיבודים!$E$17:$E$18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עיבודים!$A$19:$A$22</c:f>
              <c:strCache>
                <c:ptCount val="3"/>
                <c:pt idx="0">
                  <c:v>יהודי</c:v>
                </c:pt>
                <c:pt idx="1">
                  <c:v>מעורב</c:v>
                </c:pt>
                <c:pt idx="2">
                  <c:v>ערבי</c:v>
                </c:pt>
              </c:strCache>
            </c:strRef>
          </c:cat>
          <c:val>
            <c:numRef>
              <c:f>עיבודים!$E$19:$E$22</c:f>
              <c:numCache>
                <c:formatCode>General</c:formatCode>
                <c:ptCount val="3"/>
                <c:pt idx="0">
                  <c:v>8</c:v>
                </c:pt>
                <c:pt idx="1">
                  <c:v>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BA20-4B4B-BE28-0B4E1F86AB40}"/>
            </c:ext>
          </c:extLst>
        </c:ser>
        <c:ser>
          <c:idx val="4"/>
          <c:order val="4"/>
          <c:tx>
            <c:strRef>
              <c:f>עיבודים!$F$17:$F$18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עיבודים!$A$19:$A$22</c:f>
              <c:strCache>
                <c:ptCount val="3"/>
                <c:pt idx="0">
                  <c:v>יהודי</c:v>
                </c:pt>
                <c:pt idx="1">
                  <c:v>מעורב</c:v>
                </c:pt>
                <c:pt idx="2">
                  <c:v>ערבי</c:v>
                </c:pt>
              </c:strCache>
            </c:strRef>
          </c:cat>
          <c:val>
            <c:numRef>
              <c:f>עיבודים!$F$19:$F$22</c:f>
              <c:numCache>
                <c:formatCode>General</c:formatCode>
                <c:ptCount val="3"/>
                <c:pt idx="0">
                  <c:v>25</c:v>
                </c:pt>
                <c:pt idx="1">
                  <c:v>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BA20-4B4B-BE28-0B4E1F86AB40}"/>
            </c:ext>
          </c:extLst>
        </c:ser>
        <c:ser>
          <c:idx val="5"/>
          <c:order val="5"/>
          <c:tx>
            <c:strRef>
              <c:f>עיבודים!$G$17:$G$18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עיבודים!$A$19:$A$22</c:f>
              <c:strCache>
                <c:ptCount val="3"/>
                <c:pt idx="0">
                  <c:v>יהודי</c:v>
                </c:pt>
                <c:pt idx="1">
                  <c:v>מעורב</c:v>
                </c:pt>
                <c:pt idx="2">
                  <c:v>ערבי</c:v>
                </c:pt>
              </c:strCache>
            </c:strRef>
          </c:cat>
          <c:val>
            <c:numRef>
              <c:f>עיבודים!$G$19:$G$22</c:f>
              <c:numCache>
                <c:formatCode>General</c:formatCode>
                <c:ptCount val="3"/>
                <c:pt idx="0">
                  <c:v>21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BA20-4B4B-BE28-0B4E1F86AB40}"/>
            </c:ext>
          </c:extLst>
        </c:ser>
        <c:ser>
          <c:idx val="6"/>
          <c:order val="6"/>
          <c:tx>
            <c:strRef>
              <c:f>עיבודים!$H$17:$H$18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עיבודים!$A$19:$A$22</c:f>
              <c:strCache>
                <c:ptCount val="3"/>
                <c:pt idx="0">
                  <c:v>יהודי</c:v>
                </c:pt>
                <c:pt idx="1">
                  <c:v>מעורב</c:v>
                </c:pt>
                <c:pt idx="2">
                  <c:v>ערבי</c:v>
                </c:pt>
              </c:strCache>
            </c:strRef>
          </c:cat>
          <c:val>
            <c:numRef>
              <c:f>עיבודים!$H$19:$H$22</c:f>
              <c:numCache>
                <c:formatCode>General</c:formatCode>
                <c:ptCount val="3"/>
                <c:pt idx="0">
                  <c:v>42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BA20-4B4B-BE28-0B4E1F86AB40}"/>
            </c:ext>
          </c:extLst>
        </c:ser>
        <c:ser>
          <c:idx val="7"/>
          <c:order val="7"/>
          <c:tx>
            <c:strRef>
              <c:f>עיבודים!$I$17:$I$18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עיבודים!$A$19:$A$22</c:f>
              <c:strCache>
                <c:ptCount val="3"/>
                <c:pt idx="0">
                  <c:v>יהודי</c:v>
                </c:pt>
                <c:pt idx="1">
                  <c:v>מעורב</c:v>
                </c:pt>
                <c:pt idx="2">
                  <c:v>ערבי</c:v>
                </c:pt>
              </c:strCache>
            </c:strRef>
          </c:cat>
          <c:val>
            <c:numRef>
              <c:f>עיבודים!$I$19:$I$22</c:f>
              <c:numCache>
                <c:formatCode>General</c:formatCode>
                <c:ptCount val="3"/>
                <c:pt idx="0">
                  <c:v>29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BA20-4B4B-BE28-0B4E1F86AB40}"/>
            </c:ext>
          </c:extLst>
        </c:ser>
        <c:ser>
          <c:idx val="8"/>
          <c:order val="8"/>
          <c:tx>
            <c:strRef>
              <c:f>עיבודים!$J$17:$J$18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עיבודים!$A$19:$A$22</c:f>
              <c:strCache>
                <c:ptCount val="3"/>
                <c:pt idx="0">
                  <c:v>יהודי</c:v>
                </c:pt>
                <c:pt idx="1">
                  <c:v>מעורב</c:v>
                </c:pt>
                <c:pt idx="2">
                  <c:v>ערבי</c:v>
                </c:pt>
              </c:strCache>
            </c:strRef>
          </c:cat>
          <c:val>
            <c:numRef>
              <c:f>עיבודים!$J$19:$J$22</c:f>
              <c:numCache>
                <c:formatCode>General</c:formatCode>
                <c:ptCount val="3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BA20-4B4B-BE28-0B4E1F86AB40}"/>
            </c:ext>
          </c:extLst>
        </c:ser>
        <c:ser>
          <c:idx val="9"/>
          <c:order val="9"/>
          <c:tx>
            <c:strRef>
              <c:f>עיבודים!$K$17:$K$18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עיבודים!$A$19:$A$22</c:f>
              <c:strCache>
                <c:ptCount val="3"/>
                <c:pt idx="0">
                  <c:v>יהודי</c:v>
                </c:pt>
                <c:pt idx="1">
                  <c:v>מעורב</c:v>
                </c:pt>
                <c:pt idx="2">
                  <c:v>ערבי</c:v>
                </c:pt>
              </c:strCache>
            </c:strRef>
          </c:cat>
          <c:val>
            <c:numRef>
              <c:f>עיבודים!$K$19:$K$22</c:f>
              <c:numCache>
                <c:formatCode>General</c:formatCode>
                <c:ptCount val="3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BA20-4B4B-BE28-0B4E1F86AB40}"/>
            </c:ext>
          </c:extLst>
        </c:ser>
        <c:ser>
          <c:idx val="10"/>
          <c:order val="10"/>
          <c:tx>
            <c:strRef>
              <c:f>עיבודים!$L$17:$L$18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עיבודים!$A$19:$A$22</c:f>
              <c:strCache>
                <c:ptCount val="3"/>
                <c:pt idx="0">
                  <c:v>יהודי</c:v>
                </c:pt>
                <c:pt idx="1">
                  <c:v>מעורב</c:v>
                </c:pt>
                <c:pt idx="2">
                  <c:v>ערבי</c:v>
                </c:pt>
              </c:strCache>
            </c:strRef>
          </c:cat>
          <c:val>
            <c:numRef>
              <c:f>עיבודים!$L$19:$L$22</c:f>
              <c:numCache>
                <c:formatCode>General</c:formatCode>
                <c:ptCount val="3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BA20-4B4B-BE28-0B4E1F86A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951375"/>
        <c:axId val="948889951"/>
      </c:barChart>
      <c:catAx>
        <c:axId val="94895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48889951"/>
        <c:crosses val="autoZero"/>
        <c:auto val="1"/>
        <c:lblAlgn val="ctr"/>
        <c:lblOffset val="100"/>
        <c:noMultiLvlLbl val="0"/>
      </c:catAx>
      <c:valAx>
        <c:axId val="94888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4895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[קובץ רשויות מקומיות שלי .xlsx]עיבודים!PivotTable10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עיבודים!$B$35:$B$36</c:f>
              <c:strCache>
                <c:ptCount val="1"/>
                <c:pt idx="0">
                  <c:v>יהודי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עיבודים!$A$37:$A$38</c:f>
              <c:strCache>
                <c:ptCount val="1"/>
                <c:pt idx="0">
                  <c:v>3</c:v>
                </c:pt>
              </c:strCache>
            </c:strRef>
          </c:cat>
          <c:val>
            <c:numRef>
              <c:f>עיבודים!$B$37:$B$38</c:f>
              <c:numCache>
                <c:formatCode>_ * #\ ##0_ ;_ * \-#\ ##0_ ;_ * "-"??_ ;_ @_ </c:formatCode>
                <c:ptCount val="1"/>
                <c:pt idx="0">
                  <c:v>198355.26865712734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1-554B-84F6-70244FA18859}"/>
            </c:ext>
          </c:extLst>
        </c:ser>
        <c:ser>
          <c:idx val="1"/>
          <c:order val="1"/>
          <c:tx>
            <c:strRef>
              <c:f>עיבודים!$C$35:$C$36</c:f>
              <c:strCache>
                <c:ptCount val="1"/>
                <c:pt idx="0">
                  <c:v>מעורב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עיבודים!$A$37:$A$38</c:f>
              <c:strCache>
                <c:ptCount val="1"/>
                <c:pt idx="0">
                  <c:v>3</c:v>
                </c:pt>
              </c:strCache>
            </c:strRef>
          </c:cat>
          <c:val>
            <c:numRef>
              <c:f>עיבודים!$C$37:$C$38</c:f>
              <c:numCache>
                <c:formatCode>_ * #\ ##0_ ;_ * \-#\ ##0_ ;_ * "-"??_ ;_ @_ </c:formatCode>
                <c:ptCount val="1"/>
                <c:pt idx="0">
                  <c:v>85351.369738558118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F61-554B-84F6-70244FA18859}"/>
            </c:ext>
          </c:extLst>
        </c:ser>
        <c:ser>
          <c:idx val="2"/>
          <c:order val="2"/>
          <c:tx>
            <c:strRef>
              <c:f>עיבודים!$D$35:$D$36</c:f>
              <c:strCache>
                <c:ptCount val="1"/>
                <c:pt idx="0">
                  <c:v>ערבי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עיבודים!$A$37:$A$38</c:f>
              <c:strCache>
                <c:ptCount val="1"/>
                <c:pt idx="0">
                  <c:v>3</c:v>
                </c:pt>
              </c:strCache>
            </c:strRef>
          </c:cat>
          <c:val>
            <c:numRef>
              <c:f>עיבודים!$D$37:$D$38</c:f>
              <c:numCache>
                <c:formatCode>_ * #\ ##0_ ;_ * \-#\ ##0_ ;_ * "-"??_ ;_ @_ </c:formatCode>
                <c:ptCount val="1"/>
                <c:pt idx="0">
                  <c:v>672728.08913729805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F61-554B-84F6-70244FA18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9547279"/>
        <c:axId val="969202943"/>
      </c:barChart>
      <c:catAx>
        <c:axId val="96954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69202943"/>
        <c:crosses val="autoZero"/>
        <c:auto val="1"/>
        <c:lblAlgn val="ctr"/>
        <c:lblOffset val="100"/>
        <c:noMultiLvlLbl val="0"/>
      </c:catAx>
      <c:valAx>
        <c:axId val="96920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\ ##0_ ;_ * \-#\ 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6954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[קובץ רשויות מקומיות שלי .xlsx]מדד פריפריאלי!PivotTable16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5850632307325221E-2"/>
          <c:y val="6.2868369351669937E-2"/>
          <c:w val="0.78419380816034356"/>
          <c:h val="0.865940008972355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'מדד פריפריאלי'!$B$3:$B$4</c:f>
              <c:strCache>
                <c:ptCount val="1"/>
                <c:pt idx="0">
                  <c:v>רשויות יהודיות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'מדד פריפריאלי'!$A$5:$A$15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'מדד פריפריאלי'!$B$5:$B$15</c:f>
              <c:numCache>
                <c:formatCode>General</c:formatCode>
                <c:ptCount val="10"/>
                <c:pt idx="0">
                  <c:v>14</c:v>
                </c:pt>
                <c:pt idx="1">
                  <c:v>12</c:v>
                </c:pt>
                <c:pt idx="2">
                  <c:v>22</c:v>
                </c:pt>
                <c:pt idx="3">
                  <c:v>13</c:v>
                </c:pt>
                <c:pt idx="4">
                  <c:v>28</c:v>
                </c:pt>
                <c:pt idx="5">
                  <c:v>35</c:v>
                </c:pt>
                <c:pt idx="6">
                  <c:v>12</c:v>
                </c:pt>
                <c:pt idx="7">
                  <c:v>14</c:v>
                </c:pt>
                <c:pt idx="8">
                  <c:v>8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4-114D-89FA-4E0427F747CD}"/>
            </c:ext>
          </c:extLst>
        </c:ser>
        <c:ser>
          <c:idx val="1"/>
          <c:order val="1"/>
          <c:tx>
            <c:strRef>
              <c:f>'מדד פריפריאלי'!$C$3:$C$4</c:f>
              <c:strCache>
                <c:ptCount val="1"/>
                <c:pt idx="0">
                  <c:v>רשויות מעורבות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'מדד פריפריאלי'!$A$5:$A$15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'מדד פריפריאלי'!$C$5:$C$15</c:f>
              <c:numCache>
                <c:formatCode>General</c:formatCode>
                <c:ptCount val="10"/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C4-114D-89FA-4E0427F747CD}"/>
            </c:ext>
          </c:extLst>
        </c:ser>
        <c:ser>
          <c:idx val="2"/>
          <c:order val="2"/>
          <c:tx>
            <c:strRef>
              <c:f>'מדד פריפריאלי'!$D$3:$D$4</c:f>
              <c:strCache>
                <c:ptCount val="1"/>
                <c:pt idx="0">
                  <c:v>רשויות ערביות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'מדד פריפריאלי'!$A$5:$A$15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'מדד פריפריאלי'!$D$5:$D$15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24</c:v>
                </c:pt>
                <c:pt idx="3">
                  <c:v>25</c:v>
                </c:pt>
                <c:pt idx="4">
                  <c:v>12</c:v>
                </c:pt>
                <c:pt idx="5">
                  <c:v>9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C4-114D-89FA-4E0427F74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6684608"/>
        <c:axId val="507288128"/>
      </c:barChart>
      <c:catAx>
        <c:axId val="50668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07288128"/>
        <c:crosses val="autoZero"/>
        <c:auto val="1"/>
        <c:lblAlgn val="ctr"/>
        <c:lblOffset val="100"/>
        <c:noMultiLvlLbl val="0"/>
      </c:catAx>
      <c:valAx>
        <c:axId val="50728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0668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[קובץ רשויות מקומיות שלי .xlsx]חברתי כלכלי 21!PivotTable18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'חברתי כלכלי 21'!$B$3:$B$4</c:f>
              <c:strCache>
                <c:ptCount val="1"/>
                <c:pt idx="0">
                  <c:v>יהודי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'חברתי כלכלי 21'!$A$5:$A$16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(blank)</c:v>
                </c:pt>
              </c:strCache>
            </c:strRef>
          </c:cat>
          <c:val>
            <c:numRef>
              <c:f>'חברתי כלכלי 21'!$B$5:$B$16</c:f>
              <c:numCache>
                <c:formatCode>General</c:formatCode>
                <c:ptCount val="11"/>
                <c:pt idx="0">
                  <c:v>1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25</c:v>
                </c:pt>
                <c:pt idx="5">
                  <c:v>21</c:v>
                </c:pt>
                <c:pt idx="6">
                  <c:v>42</c:v>
                </c:pt>
                <c:pt idx="7">
                  <c:v>29</c:v>
                </c:pt>
                <c:pt idx="8">
                  <c:v>16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6-254D-BCF5-2EA325C05A3C}"/>
            </c:ext>
          </c:extLst>
        </c:ser>
        <c:ser>
          <c:idx val="1"/>
          <c:order val="1"/>
          <c:tx>
            <c:strRef>
              <c:f>'חברתי כלכלי 21'!$C$3:$C$4</c:f>
              <c:strCache>
                <c:ptCount val="1"/>
                <c:pt idx="0">
                  <c:v>מעורב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'חברתי כלכלי 21'!$A$5:$A$16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(blank)</c:v>
                </c:pt>
              </c:strCache>
            </c:strRef>
          </c:cat>
          <c:val>
            <c:numRef>
              <c:f>'חברתי כלכלי 21'!$C$5:$C$16</c:f>
              <c:numCache>
                <c:formatCode>General</c:formatCode>
                <c:ptCount val="11"/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06-254D-BCF5-2EA325C05A3C}"/>
            </c:ext>
          </c:extLst>
        </c:ser>
        <c:ser>
          <c:idx val="2"/>
          <c:order val="2"/>
          <c:tx>
            <c:strRef>
              <c:f>'חברתי כלכלי 21'!$D$3:$D$4</c:f>
              <c:strCache>
                <c:ptCount val="1"/>
                <c:pt idx="0">
                  <c:v>ערבי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'חברתי כלכלי 21'!$A$5:$A$16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(blank)</c:v>
                </c:pt>
              </c:strCache>
            </c:strRef>
          </c:cat>
          <c:val>
            <c:numRef>
              <c:f>'חברתי כלכלי 21'!$D$5:$D$16</c:f>
              <c:numCache>
                <c:formatCode>General</c:formatCode>
                <c:ptCount val="11"/>
                <c:pt idx="0">
                  <c:v>7</c:v>
                </c:pt>
                <c:pt idx="1">
                  <c:v>8</c:v>
                </c:pt>
                <c:pt idx="2">
                  <c:v>41</c:v>
                </c:pt>
                <c:pt idx="3">
                  <c:v>13</c:v>
                </c:pt>
                <c:pt idx="4">
                  <c:v>12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06-254D-BCF5-2EA325C05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1121632"/>
        <c:axId val="201415983"/>
      </c:barChart>
      <c:catAx>
        <c:axId val="48112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1415983"/>
        <c:crosses val="autoZero"/>
        <c:auto val="1"/>
        <c:lblAlgn val="ctr"/>
        <c:lblOffset val="100"/>
        <c:noMultiLvlLbl val="0"/>
      </c:catAx>
      <c:valAx>
        <c:axId val="20141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48112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[קובץ רשויות מקומיות שלי .xlsx]ארנונה!PivotTable3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dLbl>
      </c:pivotFmt>
    </c:pivotFmts>
    <c:plotArea>
      <c:layout/>
      <c:pieChart>
        <c:varyColors val="1"/>
        <c:ser>
          <c:idx val="0"/>
          <c:order val="0"/>
          <c:tx>
            <c:strRef>
              <c:f>ארנונה!$B$3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E4-844F-A163-D8FE828314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DE4-844F-A163-D8FE828314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DE4-844F-A163-D8FE828314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ארנונה!$A$4:$A$7</c:f>
              <c:strCache>
                <c:ptCount val="3"/>
                <c:pt idx="0">
                  <c:v>יהודי</c:v>
                </c:pt>
                <c:pt idx="1">
                  <c:v>מעורב</c:v>
                </c:pt>
                <c:pt idx="2">
                  <c:v>ערבי</c:v>
                </c:pt>
              </c:strCache>
            </c:strRef>
          </c:cat>
          <c:val>
            <c:numRef>
              <c:f>ארנונה!$B$4:$B$7</c:f>
              <c:numCache>
                <c:formatCode>0.00%</c:formatCode>
                <c:ptCount val="3"/>
                <c:pt idx="0">
                  <c:v>0.17592592592592593</c:v>
                </c:pt>
                <c:pt idx="1">
                  <c:v>7.407407407407407E-2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4-844F-A163-D8FE82831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חיובי ארנונה למגורים</a:t>
            </a:r>
            <a:r>
              <a:rPr lang="he-IL" baseline="0"/>
              <a:t> ותעשייה ברשויות ערביות ויהודיות, 2022 (%)</a:t>
            </a:r>
            <a:r>
              <a:rPr lang="he-IL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ארנונה!$B$25</c:f>
              <c:strCache>
                <c:ptCount val="1"/>
                <c:pt idx="0">
                  <c:v>אחוז חיובי ארנונה למגורים (מתוך סך חיובי ארנונה (באלפי ש״ח)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153-4845-BFA3-9CB36DB321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153-4845-BFA3-9CB36DB321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153-4845-BFA3-9CB36DB3212D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ארנונה!$A$26:$A$28</c:f>
              <c:strCache>
                <c:ptCount val="3"/>
                <c:pt idx="0">
                  <c:v>רשויות יהודיות</c:v>
                </c:pt>
                <c:pt idx="1">
                  <c:v>רשויות מעורבות</c:v>
                </c:pt>
                <c:pt idx="2">
                  <c:v>רשויות ערביות</c:v>
                </c:pt>
              </c:strCache>
            </c:strRef>
          </c:cat>
          <c:val>
            <c:numRef>
              <c:f>ארנונה!$B$26:$B$28</c:f>
              <c:numCache>
                <c:formatCode>General</c:formatCode>
                <c:ptCount val="3"/>
                <c:pt idx="0">
                  <c:v>0.4963465252751777</c:v>
                </c:pt>
                <c:pt idx="1">
                  <c:v>0.37914613293000138</c:v>
                </c:pt>
                <c:pt idx="2">
                  <c:v>0.75723388432417682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3-4845-BFA3-9CB36DB3212D}"/>
            </c:ext>
          </c:extLst>
        </c:ser>
        <c:ser>
          <c:idx val="1"/>
          <c:order val="1"/>
          <c:tx>
            <c:strRef>
              <c:f>ארנונה!$C$25</c:f>
              <c:strCache>
                <c:ptCount val="1"/>
                <c:pt idx="0">
                  <c:v>אחוז חיובי ארנונה למשרדים, שירותים ומסחר (מתוך סך חיובי ארנונה (באלפי ש״ח)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ארנונה!$A$26:$A$28</c:f>
              <c:strCache>
                <c:ptCount val="3"/>
                <c:pt idx="0">
                  <c:v>רשויות יהודיות</c:v>
                </c:pt>
                <c:pt idx="1">
                  <c:v>רשויות מעורבות</c:v>
                </c:pt>
                <c:pt idx="2">
                  <c:v>רשויות ערביות</c:v>
                </c:pt>
              </c:strCache>
            </c:strRef>
          </c:cat>
          <c:val>
            <c:numRef>
              <c:f>ארנונה!$C$26:$C$28</c:f>
              <c:numCache>
                <c:formatCode>General</c:formatCode>
                <c:ptCount val="3"/>
                <c:pt idx="0">
                  <c:v>0.26312288546320256</c:v>
                </c:pt>
                <c:pt idx="1">
                  <c:v>0.44952410957920008</c:v>
                </c:pt>
                <c:pt idx="2">
                  <c:v>0.13739317288657468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53-4845-BFA3-9CB36DB3212D}"/>
            </c:ext>
          </c:extLst>
        </c:ser>
        <c:ser>
          <c:idx val="2"/>
          <c:order val="2"/>
          <c:tx>
            <c:strRef>
              <c:f>ארנונה!$D$25</c:f>
              <c:strCache>
                <c:ptCount val="1"/>
                <c:pt idx="0">
                  <c:v>אחוז חיובי ארנונה לתעשייה (מתוך סך חיובי ארנונה (באלפי ש״ח)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153-4845-BFA3-9CB36DB3212D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153-4845-BFA3-9CB36DB3212D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153-4845-BFA3-9CB36DB3212D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ארנונה!$A$26:$A$28</c:f>
              <c:strCache>
                <c:ptCount val="3"/>
                <c:pt idx="0">
                  <c:v>רשויות יהודיות</c:v>
                </c:pt>
                <c:pt idx="1">
                  <c:v>רשויות מעורבות</c:v>
                </c:pt>
                <c:pt idx="2">
                  <c:v>רשויות ערביות</c:v>
                </c:pt>
              </c:strCache>
            </c:strRef>
          </c:cat>
          <c:val>
            <c:numRef>
              <c:f>ארנונה!$D$26:$D$28</c:f>
              <c:numCache>
                <c:formatCode>General</c:formatCode>
                <c:ptCount val="3"/>
                <c:pt idx="0">
                  <c:v>9.5221266145940092E-2</c:v>
                </c:pt>
                <c:pt idx="1">
                  <c:v>5.1172449722761831E-2</c:v>
                </c:pt>
                <c:pt idx="2">
                  <c:v>3.4010674383031722E-2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53-4845-BFA3-9CB36DB32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0552543"/>
        <c:axId val="2073917888"/>
      </c:barChart>
      <c:catAx>
        <c:axId val="57055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73917888"/>
        <c:crosses val="autoZero"/>
        <c:auto val="1"/>
        <c:lblAlgn val="ctr"/>
        <c:lblOffset val="100"/>
        <c:noMultiLvlLbl val="0"/>
      </c:catAx>
      <c:valAx>
        <c:axId val="207391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7055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165100</xdr:colOff>
      <xdr:row>2</xdr:row>
      <xdr:rowOff>69850</xdr:rowOff>
    </xdr:from>
    <xdr:to>
      <xdr:col>11</xdr:col>
      <xdr:colOff>609600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22EE91-BD51-FB46-D69F-4237B89C4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393700</xdr:colOff>
      <xdr:row>0</xdr:row>
      <xdr:rowOff>0</xdr:rowOff>
    </xdr:from>
    <xdr:to>
      <xdr:col>18</xdr:col>
      <xdr:colOff>25400</xdr:colOff>
      <xdr:row>13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98DA3F-F4A9-4FC7-4DFE-27E124F5A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101600</xdr:colOff>
      <xdr:row>14</xdr:row>
      <xdr:rowOff>152400</xdr:rowOff>
    </xdr:from>
    <xdr:to>
      <xdr:col>37</xdr:col>
      <xdr:colOff>76200</xdr:colOff>
      <xdr:row>31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663CB9-5A03-64FC-8C0F-3970414DB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152400</xdr:colOff>
      <xdr:row>33</xdr:row>
      <xdr:rowOff>139700</xdr:rowOff>
    </xdr:from>
    <xdr:to>
      <xdr:col>24</xdr:col>
      <xdr:colOff>12700</xdr:colOff>
      <xdr:row>47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61D671-11FB-F8E7-E11F-39A2CF4F9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1</xdr:row>
      <xdr:rowOff>12700</xdr:rowOff>
    </xdr:from>
    <xdr:to>
      <xdr:col>22</xdr:col>
      <xdr:colOff>228600</xdr:colOff>
      <xdr:row>16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9235CB-4113-C2F1-A7F3-F8FCD3775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2</xdr:row>
      <xdr:rowOff>95250</xdr:rowOff>
    </xdr:from>
    <xdr:to>
      <xdr:col>10</xdr:col>
      <xdr:colOff>254000</xdr:colOff>
      <xdr:row>15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A886B3-78EB-D601-75A8-61F98131F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825500</xdr:colOff>
      <xdr:row>0</xdr:row>
      <xdr:rowOff>107950</xdr:rowOff>
    </xdr:from>
    <xdr:to>
      <xdr:col>10</xdr:col>
      <xdr:colOff>101600</xdr:colOff>
      <xdr:row>14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4630F4-B82E-C86F-872B-FDF42DF9A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101600</xdr:colOff>
      <xdr:row>16</xdr:row>
      <xdr:rowOff>114300</xdr:rowOff>
    </xdr:from>
    <xdr:to>
      <xdr:col>13</xdr:col>
      <xdr:colOff>139700</xdr:colOff>
      <xdr:row>32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C22BFA-F11E-E246-97ED-8AFB97DCF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85.466133912036" createdVersion="8" refreshedVersion="8" minRefreshableVersion="3" recordCount="3" xr:uid="{40F30349-1F87-7742-BDA6-CEB82A1592FF}">
  <cacheSource type="worksheet">
    <worksheetSource name="Table2"/>
  </cacheSource>
  <cacheFields count="2">
    <cacheField name="ערבים (אחוזים)" numFmtId="165">
      <sharedItems containsSemiMixedTypes="0" containsString="0" containsNumber="1" minValue="9.6" maxValue="57.2"/>
    </cacheField>
    <cacheField name="מגורים לפי מעמד מוניציפאלי" numFmtId="165">
      <sharedItems count="4">
        <s v="עיריות"/>
        <s v="מועצות מקומיות"/>
        <s v="מועצות אזוריות"/>
        <s v="כלל ארצי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85.573512384261" createdVersion="8" refreshedVersion="8" minRefreshableVersion="3" recordCount="108" xr:uid="{9B6AF06B-9733-B740-88BC-57E7DD083D81}">
  <cacheSource type="worksheet">
    <worksheetSource name="Table3"/>
  </cacheSource>
  <cacheFields count="5">
    <cacheField name="ערבים (אחוזים)" numFmtId="165">
      <sharedItems containsSemiMixedTypes="0" containsString="0" containsNumber="1" minValue="4.0999999999999996" maxValue="100"/>
    </cacheField>
    <cacheField name="מחוז " numFmtId="0">
      <sharedItems/>
    </cacheField>
    <cacheField name="שם רשות" numFmtId="0">
      <sharedItems/>
    </cacheField>
    <cacheField name="מעמד מוניציפאלי" numFmtId="0">
      <sharedItems/>
    </cacheField>
    <cacheField name="סוג רשות" numFmtId="0">
      <sharedItems count="3">
        <s v="ערבי"/>
        <s v="יהודי"/>
        <s v="מעורב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85.631665393521" createdVersion="8" refreshedVersion="8" minRefreshableVersion="3" recordCount="256" xr:uid="{22BE18CA-15C2-FB40-9798-0884B693F62A}">
  <cacheSource type="worksheet">
    <worksheetSource name="Table1"/>
  </cacheSource>
  <cacheFields count="52">
    <cacheField name="שם רשות מקומית" numFmtId="0">
      <sharedItems/>
    </cacheField>
    <cacheField name="מעמד מוניצפאלי " numFmtId="0">
      <sharedItems/>
    </cacheField>
    <cacheField name="סוג רשות " numFmtId="0">
      <sharedItems count="3">
        <s v="ערבי"/>
        <s v="יהודי"/>
        <s v="מעורב"/>
      </sharedItems>
    </cacheField>
    <cacheField name="סיום בית ספר תיכון עם תעודת בגרות  (2021)" numFmtId="165">
      <sharedItems containsMixedTypes="1" containsNumber="1" minValue="4.2726396917148364" maxValue="23.965721040189123"/>
    </cacheField>
    <cacheField name="אחוז בעלי תארים מישראל מתוך אוכלוסיית בני 55-35" numFmtId="165">
      <sharedItems containsSemiMixedTypes="0" containsString="0" containsNumber="1" minValue="2.39" maxValue="72.95"/>
    </cacheField>
    <cacheField name="ערבים (אחוזים)" numFmtId="165">
      <sharedItems containsMixedTypes="1" containsNumber="1" minValue="4.0999999999999996" maxValue="100"/>
    </cacheField>
    <cacheField name="כמות אוכלוסייה בסוף השנה (2022)" numFmtId="164">
      <sharedItems containsSemiMixedTypes="0" containsString="0" containsNumber="1" minValue="1376.9826353216724" maxValue="981711.23465278896"/>
    </cacheField>
    <cacheField name="סה&quot;כ גברים בסוף השנה (2022)" numFmtId="164">
      <sharedItems containsSemiMixedTypes="0" containsString="0" containsNumber="1" containsInteger="1" minValue="722" maxValue="491084"/>
    </cacheField>
    <cacheField name="סה&quot;כ נשים בסוף השנה (2022)" numFmtId="164">
      <sharedItems containsSemiMixedTypes="0" containsString="0" containsNumber="1" containsInteger="1" minValue="655" maxValue="490627"/>
    </cacheField>
    <cacheField name="אחוז באוכלוסייה בסוף השנה בני 0-4" numFmtId="165">
      <sharedItems containsSemiMixedTypes="0" containsString="0" containsNumber="1" minValue="3.9" maxValue="21.1"/>
    </cacheField>
    <cacheField name="אחוז באוכלוסייה בסוף השנה בני 9-5" numFmtId="165">
      <sharedItems containsSemiMixedTypes="0" containsString="0" containsNumber="1" minValue="5.2" maxValue="18.899999999999999"/>
    </cacheField>
    <cacheField name="אחוז באוכלוסייה בסוף השנה בני 14-10" numFmtId="165">
      <sharedItems containsSemiMixedTypes="0" containsString="0" containsNumber="1" minValue="5.3" maxValue="16.600000000000001"/>
    </cacheField>
    <cacheField name="אחוז באוכלוסייה בסוף השנה בני 19-15" numFmtId="165">
      <sharedItems containsSemiMixedTypes="0" containsString="0" containsNumber="1" minValue="3.6" maxValue="20.6"/>
    </cacheField>
    <cacheField name=" אחוז באוכלוסייה בסוף השנה בני 29-20" numFmtId="165">
      <sharedItems containsSemiMixedTypes="0" containsString="0" containsNumber="1" minValue="8.7951997473551238" maxValue="21.773879142300196"/>
    </cacheField>
    <cacheField name="אחוז באוכלוסייה בסוף השנה בני 44-30" numFmtId="165">
      <sharedItems containsSemiMixedTypes="0" containsString="0" containsNumber="1" minValue="9.8914652195362613" maxValue="27.867152761679982"/>
    </cacheField>
    <cacheField name="אחוז באוכלוסייה בסוף השנה בני 59-45" numFmtId="165">
      <sharedItems containsSemiMixedTypes="0" containsString="0" containsNumber="1" minValue="5.5400930946782472" maxValue="23.714637146371466"/>
    </cacheField>
    <cacheField name="אחוז באוכלוסייה בסוף השנה בני 64-60" numFmtId="165">
      <sharedItems containsSemiMixedTypes="0" containsString="0" containsNumber="1" minValue="0.5" maxValue="7.3"/>
    </cacheField>
    <cacheField name="אחוז באוכלוסייה בסוף השנה בני 65 ומעלה" numFmtId="165">
      <sharedItems containsSemiMixedTypes="0" containsString="0" containsNumber="1" minValue="1.1000000000000001" maxValue="24"/>
    </cacheField>
    <cacheField name="אחוז באוכלוסייה בסוף השנה בני 17-0" numFmtId="165">
      <sharedItems containsSemiMixedTypes="0" containsString="0" containsNumber="1" minValue="20.3" maxValue="62.2"/>
    </cacheField>
    <cacheField name="אחוז באוכלוסייה בסוף השנה בני 75 ומעלה" numFmtId="165">
      <sharedItems containsSemiMixedTypes="0" containsString="0" containsNumber="1" minValue="0.4" maxValue="11.6"/>
    </cacheField>
    <cacheField name="מאזן הגירה ביישוב_x000a_סה&quot;כ" numFmtId="164">
      <sharedItems containsMixedTypes="1" containsNumber="1" containsInteger="1" minValue="-7128" maxValue="8196"/>
    </cacheField>
    <cacheField name="מספר מקבלי דמי אבטלה _x000a_(סה&quot;כ שנתי)" numFmtId="164">
      <sharedItems containsMixedTypes="1" containsNumber="1" containsInteger="1" minValue="16" maxValue="12213"/>
    </cacheField>
    <cacheField name="התחלת בנייה שטח_x000a_(אלפי מ&quot;ר)" numFmtId="165">
      <sharedItems containsMixedTypes="1" containsNumber="1" minValue="0.1" maxValue="1027.3"/>
    </cacheField>
    <cacheField name="התחלת בנייה שטח למגורים_x000a_(אלפי מ&quot;ר)" numFmtId="165">
      <sharedItems containsMixedTypes="1" containsNumber="1" minValue="0.1" maxValue="786.6"/>
    </cacheField>
    <cacheField name="התחלת בנייה - מספר דירות (2022)" numFmtId="165">
      <sharedItems containsMixedTypes="1" containsNumber="1" containsInteger="1" minValue="2" maxValue="4630"/>
    </cacheField>
    <cacheField name="גמר בנייה שטח_x000a_(אלפי מ&quot;ר)" numFmtId="165">
      <sharedItems containsMixedTypes="1" containsNumber="1" minValue="0.1" maxValue="1074.4000000000001"/>
    </cacheField>
    <cacheField name="גמר בנייה שטח למגורים_x000a_(אלפי מ&quot;ר)" numFmtId="165">
      <sharedItems containsMixedTypes="1" containsNumber="1" minValue="0.1" maxValue="726.4"/>
    </cacheField>
    <cacheField name="גמר בנייה- מספר דירות (2022)" numFmtId="165">
      <sharedItems containsMixedTypes="1" containsNumber="1" containsInteger="1" minValue="1" maxValue="3097"/>
    </cacheField>
    <cacheField name="אשכול לפי המדד החברתי- כלכלי, 2021" numFmtId="0">
      <sharedItems containsString="0" containsBlank="1" containsNumber="1" containsInteger="1" minValue="1" maxValue="10" count="11">
        <n v="2"/>
        <n v="3"/>
        <n v="5"/>
        <n v="6"/>
        <n v="4"/>
        <n v="7"/>
        <n v="8"/>
        <n v="9"/>
        <n v="1"/>
        <n v="10"/>
        <m/>
      </sharedItems>
    </cacheField>
    <cacheField name="אשכול לפי המדד החברתי-כלכלי , 2019" numFmtId="0">
      <sharedItems containsString="0" containsBlank="1" containsNumber="1" containsInteger="1" minValue="1" maxValue="10" count="11">
        <n v="2"/>
        <n v="3"/>
        <n v="5"/>
        <n v="6"/>
        <n v="4"/>
        <n v="7"/>
        <n v="1"/>
        <n v="8"/>
        <n v="9"/>
        <n v="10"/>
        <m/>
      </sharedItems>
    </cacheField>
    <cacheField name="דירוג אשכול פריפריאליות, 2020_x000a_(מ-1 עד 10, 1 הפריפריאלי ביותר) " numFmtId="0">
      <sharedItems containsString="0" containsBlank="1" containsNumber="1" containsInteger="1" minValue="1" maxValue="10" count="11">
        <n v="5"/>
        <n v="3"/>
        <n v="8"/>
        <n v="6"/>
        <n v="1"/>
        <n v="7"/>
        <n v="10"/>
        <n v="9"/>
        <n v="2"/>
        <n v="4"/>
        <m/>
      </sharedItems>
    </cacheField>
    <cacheField name="אחוז מסך כל שטח שיפוט לתעשייה (2022)" numFmtId="0">
      <sharedItems containsMixedTypes="1" containsNumber="1" minValue="0" maxValue="12.9"/>
    </cacheField>
    <cacheField name="בחירות לכנסת ה-25_x000a_01/11/22 אחוזי הצבעה" numFmtId="165">
      <sharedItems containsMixedTypes="1" containsNumber="1" minValue="14.975845410628018" maxValue="84.364180380423164"/>
    </cacheField>
    <cacheField name="התחלת בנייה: שטח (אלפי מ&quot;ר) - סה&quot;כ 2013" numFmtId="0">
      <sharedItems containsBlank="1" containsMixedTypes="1" containsNumber="1" minValue="0" maxValue="880.5"/>
    </cacheField>
    <cacheField name="התחלת בנייה: שטח  למגורים (אלפי מ&quot;ר) 2013" numFmtId="0">
      <sharedItems containsBlank="1" containsMixedTypes="1" containsNumber="1" minValue="0.3" maxValue="645.4"/>
    </cacheField>
    <cacheField name="התחלת בנייה: מספר דירות 2013" numFmtId="0">
      <sharedItems containsBlank="1" containsMixedTypes="1" containsNumber="1" containsInteger="1" minValue="4" maxValue="3491"/>
    </cacheField>
    <cacheField name="גמר בנייה: שטח (אלפי מ&quot;ר) - סה&quot;כ 2013" numFmtId="0">
      <sharedItems containsBlank="1" containsMixedTypes="1" containsNumber="1" minValue="0.2" maxValue="696.6"/>
    </cacheField>
    <cacheField name="גמר בנייה: שטח למגורים (אלפי מ&quot;ר) 2013" numFmtId="0">
      <sharedItems containsBlank="1" containsMixedTypes="1" containsNumber="1" minValue="0.2" maxValue="524.6"/>
    </cacheField>
    <cacheField name="גמר בנייה: מספר דירות 2013" numFmtId="0">
      <sharedItems containsBlank="1" containsMixedTypes="1" containsNumber="1" containsInteger="1" minValue="3" maxValue="2469"/>
    </cacheField>
    <cacheField name="סה&quot;כ הוצאות של הרשות בתקציב רגיל (אלפי ש&quot;ח) 2013" numFmtId="0">
      <sharedItems containsString="0" containsBlank="1" containsNumber="1" containsInteger="1" minValue="98440" maxValue="1254010"/>
    </cacheField>
    <cacheField name="Column2" numFmtId="165">
      <sharedItems containsNonDate="0" containsString="0" containsBlank="1"/>
    </cacheField>
    <cacheField name="מלוות לאיזון" numFmtId="171">
      <sharedItems containsSemiMixedTypes="0" containsString="0" containsNumber="1" containsInteger="1" minValue="0" maxValue="68000"/>
    </cacheField>
    <cacheField name="סה&quot;כ הכנסות עצמיות (2022)" numFmtId="3">
      <sharedItems containsSemiMixedTypes="0" containsString="0" containsNumber="1" minValue="6190" maxValue="5441893"/>
    </cacheField>
    <cacheField name="הכנסות עצמיות: מארנונה (2022)" numFmtId="3">
      <sharedItems containsSemiMixedTypes="0" containsString="0" containsNumber="1" minValue="299" maxValue="3621685"/>
    </cacheField>
    <cacheField name="ארנונה למגורים: סה&quot;כ גביות" numFmtId="3">
      <sharedItems containsSemiMixedTypes="0" containsString="0" containsNumber="1" minValue="10" maxValue="1223182"/>
    </cacheField>
    <cacheField name="ארנונה למגורים: סה&quot;כ חיובים נטו" numFmtId="3">
      <sharedItems containsSemiMixedTypes="0" containsString="0" containsNumber="1" minValue="1911.4090000000001" maxValue="1605985.1"/>
    </cacheField>
    <cacheField name="סך הכל הכנסות מהממשלה (2022)" numFmtId="165">
      <sharedItems containsSemiMixedTypes="0" containsString="0" containsNumber="1" minValue="2897" maxValue="3517582"/>
    </cacheField>
    <cacheField name="הוצאה לנפש בתקציב הרגיל (ש&quot;ח), 2022" numFmtId="3">
      <sharedItems containsSemiMixedTypes="0" containsString="0" containsNumber="1" minValue="3719.2960274871202" maxValue="120690.21110640424"/>
    </cacheField>
    <cacheField name="סה&quot;כ חיוב ארנונה - חיוב באלפי ₪" numFmtId="165">
      <sharedItems containsSemiMixedTypes="0" containsString="0" containsNumber="1" minValue="2757.1080000000002" maxValue="4257399.4040000001"/>
    </cacheField>
    <cacheField name="למגורים" numFmtId="165">
      <sharedItems containsSemiMixedTypes="0" containsString="0" containsNumber="1" minValue="1926.4090000000001" maxValue="1607531.15"/>
    </cacheField>
    <cacheField name="למשרדים, שירותים ומסחר" numFmtId="3">
      <sharedItems containsSemiMixedTypes="0" containsString="0" containsNumber="1" minValue="74.787999999999997" maxValue="2444072.1519999998"/>
    </cacheField>
    <cacheField name="לתעשייה" numFmtId="3">
      <sharedItems containsSemiMixedTypes="0" containsString="0" containsNumber="1" minValue="0" maxValue="1750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5"/>
    <x v="0"/>
  </r>
  <r>
    <n v="57.2"/>
    <x v="1"/>
  </r>
  <r>
    <n v="9.6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n v="99.9"/>
    <s v="חיפה"/>
    <s v="אום אל-פחם"/>
    <s v="עירייה"/>
    <x v="0"/>
  </r>
  <r>
    <n v="4.9000000000000004"/>
    <s v="הדרום"/>
    <s v="אילת"/>
    <s v="עירייה"/>
    <x v="1"/>
  </r>
  <r>
    <n v="99.9"/>
    <s v="חיפה"/>
    <s v="באקה אל-גרביה"/>
    <s v="עירייה"/>
    <x v="0"/>
  </r>
  <r>
    <n v="12.1"/>
    <s v="חיפה"/>
    <s v="חיפה"/>
    <s v="עירייה"/>
    <x v="2"/>
  </r>
  <r>
    <n v="99.9"/>
    <s v="המרכז"/>
    <s v="טייבה"/>
    <s v="עירייה"/>
    <x v="0"/>
  </r>
  <r>
    <n v="99.7"/>
    <s v="המרכז"/>
    <s v="טירה"/>
    <s v="עירייה"/>
    <x v="0"/>
  </r>
  <r>
    <n v="99.9"/>
    <s v="הצפון"/>
    <s v="טמרה"/>
    <s v="עירייה"/>
    <x v="0"/>
  </r>
  <r>
    <n v="39.200000000000003"/>
    <s v="ירושלים"/>
    <s v="ירושלים"/>
    <s v="עירייה"/>
    <x v="2"/>
  </r>
  <r>
    <n v="99.8"/>
    <s v="המרכז"/>
    <s v="כפר קאסם"/>
    <s v="עירייה"/>
    <x v="0"/>
  </r>
  <r>
    <n v="4.2"/>
    <s v="הצפון"/>
    <s v="כרמיאל"/>
    <s v="עירייה"/>
    <x v="1"/>
  </r>
  <r>
    <n v="29.4"/>
    <s v="המרכז"/>
    <s v="לוד"/>
    <s v="עירייה"/>
    <x v="2"/>
  </r>
  <r>
    <n v="99.9"/>
    <s v="הצפון"/>
    <s v="מגאר"/>
    <s v="עירייה"/>
    <x v="0"/>
  </r>
  <r>
    <n v="22.6"/>
    <s v="הצפון"/>
    <s v="מעלות-תרשיחא"/>
    <s v="עירייה"/>
    <x v="2"/>
  </r>
  <r>
    <n v="32.299999999999997"/>
    <s v="הצפון"/>
    <s v="נוף הגליל"/>
    <s v="עירייה"/>
    <x v="2"/>
  </r>
  <r>
    <n v="99.7"/>
    <s v="הצפון"/>
    <s v="נצרת"/>
    <s v="עירייה"/>
    <x v="0"/>
  </r>
  <r>
    <n v="99.9"/>
    <s v="הצפון"/>
    <s v="סח'נין"/>
    <s v="עירייה"/>
    <x v="0"/>
  </r>
  <r>
    <n v="32.4"/>
    <s v="הצפון"/>
    <s v="עכו"/>
    <s v="עירייה"/>
    <x v="2"/>
  </r>
  <r>
    <n v="99.9"/>
    <s v="הצפון"/>
    <s v="עראבה"/>
    <s v="עירייה"/>
    <x v="0"/>
  </r>
  <r>
    <n v="99.8"/>
    <s v="המרכז"/>
    <s v="קלנסווה"/>
    <s v="עירייה"/>
    <x v="0"/>
  </r>
  <r>
    <n v="99.7"/>
    <s v="הדרום"/>
    <s v="רהט"/>
    <s v="עירייה"/>
    <x v="0"/>
  </r>
  <r>
    <n v="24.8"/>
    <s v="המרכז"/>
    <s v="רמלה"/>
    <s v="עירייה"/>
    <x v="2"/>
  </r>
  <r>
    <n v="99.6"/>
    <s v="הצפון"/>
    <s v="שפרעם"/>
    <s v="עירייה"/>
    <x v="0"/>
  </r>
  <r>
    <n v="4.8"/>
    <s v="תל אביב"/>
    <s v="תל אביב -יפו"/>
    <s v="עירייה"/>
    <x v="2"/>
  </r>
  <r>
    <n v="99"/>
    <s v="ירושלים"/>
    <s v="אבו גוש"/>
    <s v="מועצה מקומית"/>
    <x v="0"/>
  </r>
  <r>
    <n v="99.8"/>
    <s v="הצפון"/>
    <s v="אבו סנאן"/>
    <s v="מועצה מקומית"/>
    <x v="0"/>
  </r>
  <r>
    <n v="99.9"/>
    <s v="הצפון"/>
    <s v="אכסאל"/>
    <s v="מועצה מקומית"/>
    <x v="0"/>
  </r>
  <r>
    <n v="99.9"/>
    <s v="הצפון"/>
    <s v="אעבלין"/>
    <s v="מועצה מקומית"/>
    <x v="0"/>
  </r>
  <r>
    <n v="99.9"/>
    <s v="הצפון"/>
    <s v="בועיינה-נוג'ידאת"/>
    <s v="מועצה מקומית"/>
    <x v="0"/>
  </r>
  <r>
    <n v="100"/>
    <s v="הצפון"/>
    <s v="בוקעאתא"/>
    <s v="מועצה מקומית"/>
    <x v="0"/>
  </r>
  <r>
    <n v="100"/>
    <s v="הצפון"/>
    <s v="ביר אל-מכסור"/>
    <s v="מועצה מקומית"/>
    <x v="0"/>
  </r>
  <r>
    <n v="100"/>
    <s v="הצפון"/>
    <s v="בית ג'ן"/>
    <s v="מועצה מקומית"/>
    <x v="0"/>
  </r>
  <r>
    <n v="100"/>
    <s v="חיפה"/>
    <s v="בסמ&quot;ה"/>
    <s v="מועצה מקומית"/>
    <x v="0"/>
  </r>
  <r>
    <n v="99.8"/>
    <s v="הצפון"/>
    <s v="בסמת טבעון"/>
    <s v="מועצה מקומית"/>
    <x v="0"/>
  </r>
  <r>
    <n v="99.8"/>
    <s v="הצפון"/>
    <s v="בענה"/>
    <s v="מועצה מקומית"/>
    <x v="0"/>
  </r>
  <r>
    <n v="99.8"/>
    <s v="הצפון"/>
    <s v="ג'דיידה-מכר"/>
    <s v="מועצה מקומית"/>
    <x v="0"/>
  </r>
  <r>
    <n v="100"/>
    <s v="הצפון"/>
    <s v="ג'ולס"/>
    <s v="מועצה מקומית"/>
    <x v="0"/>
  </r>
  <r>
    <n v="98.6"/>
    <s v="המרכז"/>
    <s v="ג'לג'וליה"/>
    <s v="מועצה מקומית"/>
    <x v="0"/>
  </r>
  <r>
    <n v="99.9"/>
    <s v="חיפה"/>
    <s v="ג'סר א-זרקא"/>
    <s v="מועצה מקומית"/>
    <x v="1"/>
  </r>
  <r>
    <n v="98.5"/>
    <s v="הצפון"/>
    <s v="ג'ש (גוש חלב)"/>
    <s v="מועצה מקומית"/>
    <x v="1"/>
  </r>
  <r>
    <n v="99.9"/>
    <s v="חיפה"/>
    <s v="ג'ת"/>
    <s v="מועצה מקומית"/>
    <x v="1"/>
  </r>
  <r>
    <n v="99.6"/>
    <s v="חיפה"/>
    <s v="דאלית אל-כרמל"/>
    <s v="מועצה מקומית"/>
    <x v="0"/>
  </r>
  <r>
    <n v="99.8"/>
    <s v="הצפון"/>
    <s v="דבורייה"/>
    <s v="מועצה מקומית"/>
    <x v="0"/>
  </r>
  <r>
    <n v="100"/>
    <s v="הצפון"/>
    <s v="דייר אל-אסד"/>
    <s v="מועצה מקומית"/>
    <x v="0"/>
  </r>
  <r>
    <n v="99.9"/>
    <s v="הצפון"/>
    <s v="דייר חנא"/>
    <s v="מועצה מקומית"/>
    <x v="0"/>
  </r>
  <r>
    <n v="99.9"/>
    <s v="המרכז"/>
    <s v="זמר"/>
    <s v="מועצה מקומית"/>
    <x v="0"/>
  </r>
  <r>
    <n v="99.7"/>
    <s v="הצפון"/>
    <s v="זרזיר"/>
    <s v="מועצה מקומית"/>
    <x v="0"/>
  </r>
  <r>
    <n v="99.9"/>
    <s v="הדרום"/>
    <s v="חורה"/>
    <s v="מועצה מקומית"/>
    <x v="0"/>
  </r>
  <r>
    <n v="100"/>
    <s v="הצפון"/>
    <s v="חורפיש"/>
    <s v="מועצה מקומית"/>
    <x v="0"/>
  </r>
  <r>
    <n v="99.9"/>
    <s v="הצפון"/>
    <s v="טובא-זנגרייה"/>
    <s v="מועצה מקומית"/>
    <x v="0"/>
  </r>
  <r>
    <n v="100"/>
    <s v="הצפון"/>
    <s v="טורעאן"/>
    <s v="מועצה מקומית"/>
    <x v="0"/>
  </r>
  <r>
    <n v="100"/>
    <s v="הצפון"/>
    <s v="יאנוח-ג'ת"/>
    <s v="מועצה מקומית"/>
    <x v="0"/>
  </r>
  <r>
    <n v="100"/>
    <s v="הצפון"/>
    <s v="יפיע"/>
    <s v="מועצה מקומית"/>
    <x v="0"/>
  </r>
  <r>
    <n v="99.6"/>
    <s v="הצפון"/>
    <s v="ירכא"/>
    <s v="מועצה מקומית"/>
    <x v="0"/>
  </r>
  <r>
    <n v="99.9"/>
    <s v="הצפון"/>
    <s v="כאבול"/>
    <s v="מועצה מקומית"/>
    <x v="0"/>
  </r>
  <r>
    <n v="99.9"/>
    <s v="הצפון"/>
    <s v="כאוכב אבו אל-היג'א"/>
    <s v="מועצה מקומית"/>
    <x v="0"/>
  </r>
  <r>
    <n v="99.9"/>
    <s v="הדרום"/>
    <s v="כסיפה"/>
    <s v="מועצה מקומית"/>
    <x v="0"/>
  </r>
  <r>
    <n v="100"/>
    <s v="הצפון"/>
    <s v="כסרא-סמיע"/>
    <s v="מועצה מקומית"/>
    <x v="0"/>
  </r>
  <r>
    <n v="99.7"/>
    <s v="הצפון"/>
    <s v="כעביה-טבאש-חג'אג'רה"/>
    <s v="מועצה מקומית"/>
    <x v="0"/>
  </r>
  <r>
    <n v="99.9"/>
    <s v="המרכז"/>
    <s v="כפר ברא"/>
    <s v="מועצה מקומית"/>
    <x v="0"/>
  </r>
  <r>
    <n v="4.2"/>
    <s v="הצפון"/>
    <s v="כפר ורדים"/>
    <s v="מועצה מקומית"/>
    <x v="1"/>
  </r>
  <r>
    <n v="99.8"/>
    <s v="הצפון"/>
    <s v="כפר יאסיף"/>
    <s v="מועצה מקומית"/>
    <x v="0"/>
  </r>
  <r>
    <n v="99.5"/>
    <s v="הצפון"/>
    <s v="כפר כמא"/>
    <s v="מועצה מקומית"/>
    <x v="0"/>
  </r>
  <r>
    <n v="99.9"/>
    <s v="הצפון"/>
    <s v="כפר כנא"/>
    <s v="מועצה מקומית"/>
    <x v="0"/>
  </r>
  <r>
    <n v="100"/>
    <s v="הצפון"/>
    <s v="כפר מנדא"/>
    <s v="מועצה מקומית"/>
    <x v="0"/>
  </r>
  <r>
    <n v="99.9"/>
    <s v="חיפה"/>
    <s v="כפר קרע"/>
    <s v="מועצה מקומית"/>
    <x v="0"/>
  </r>
  <r>
    <n v="4.4000000000000004"/>
    <s v="הדרום"/>
    <s v="להבים"/>
    <s v="מועצה מקומית"/>
    <x v="1"/>
  </r>
  <r>
    <n v="99.9"/>
    <s v="הדרום"/>
    <s v="לקיה"/>
    <s v="מועצה מקומית"/>
    <x v="0"/>
  </r>
  <r>
    <n v="99.9"/>
    <s v="הצפון"/>
    <s v="מג'ד אל-כרום"/>
    <s v="מועצה מקומית"/>
    <x v="0"/>
  </r>
  <r>
    <n v="100"/>
    <s v="הצפון"/>
    <s v="מג'דל שמס"/>
    <s v="מועצה מקומית"/>
    <x v="1"/>
  </r>
  <r>
    <n v="99.7"/>
    <s v="הצפון"/>
    <s v="מזרעה"/>
    <s v="מועצה מקומית"/>
    <x v="0"/>
  </r>
  <r>
    <n v="99.9"/>
    <s v="הצפון"/>
    <s v="מסעדה"/>
    <s v="מועצה מקומית"/>
    <x v="0"/>
  </r>
  <r>
    <n v="97.5"/>
    <s v="הצפון"/>
    <s v="מעיליא"/>
    <s v="מועצה מקומית"/>
    <x v="0"/>
  </r>
  <r>
    <n v="100"/>
    <s v="חיפה"/>
    <s v="מעלה עירון"/>
    <s v="מועצה מקומית"/>
    <x v="0"/>
  </r>
  <r>
    <n v="4.0999999999999996"/>
    <s v="הדרום"/>
    <s v="מצפה רמון"/>
    <s v="מועצה מקומית"/>
    <x v="1"/>
  </r>
  <r>
    <n v="100"/>
    <s v="הצפון"/>
    <s v="משהד"/>
    <s v="מועצה מקומית"/>
    <x v="0"/>
  </r>
  <r>
    <n v="99.8"/>
    <s v="הצפון"/>
    <s v="נחף"/>
    <s v="מועצה מקומית"/>
    <x v="0"/>
  </r>
  <r>
    <n v="100"/>
    <s v="הצפון"/>
    <s v="סאג'ור"/>
    <s v="מועצה מקומית"/>
    <x v="0"/>
  </r>
  <r>
    <n v="99.9"/>
    <s v="הצפון"/>
    <s v="ע'ג'ר"/>
    <s v="מועצה מקומית"/>
    <x v="0"/>
  </r>
  <r>
    <n v="99.5"/>
    <s v="הצפון"/>
    <s v="עיילבון"/>
    <s v="מועצה מקומית"/>
    <x v="0"/>
  </r>
  <r>
    <n v="100"/>
    <s v="הצפון"/>
    <s v="עילוט"/>
    <s v="מועצה מקומית"/>
    <x v="0"/>
  </r>
  <r>
    <n v="99.9"/>
    <s v="הצפון"/>
    <s v="עין מאהל"/>
    <s v="מועצה מקומית"/>
    <x v="0"/>
  </r>
  <r>
    <n v="100"/>
    <s v="הצפון"/>
    <s v="עין קנייא"/>
    <s v="מועצה מקומית"/>
    <x v="0"/>
  </r>
  <r>
    <n v="98.1"/>
    <s v="חיפה"/>
    <s v="עספיא"/>
    <s v="מועצה מקומית"/>
    <x v="0"/>
  </r>
  <r>
    <n v="99.8"/>
    <s v="חיפה"/>
    <s v="ערערה"/>
    <s v="מועצה מקומית"/>
    <x v="0"/>
  </r>
  <r>
    <n v="99.9"/>
    <s v="הדרום"/>
    <s v="ערערה-בנגב"/>
    <s v="מועצה מקומית"/>
    <x v="0"/>
  </r>
  <r>
    <n v="99.9"/>
    <s v="חיפה"/>
    <s v="פוריידיס"/>
    <s v="מועצה מקומית"/>
    <x v="0"/>
  </r>
  <r>
    <n v="99.7"/>
    <s v="הצפון"/>
    <s v="פסוטה"/>
    <s v="מועצה מקומית"/>
    <x v="0"/>
  </r>
  <r>
    <n v="100"/>
    <s v="הצפון"/>
    <s v="פקיעין (בוקייעה)"/>
    <s v="מועצה מקומית"/>
    <x v="0"/>
  </r>
  <r>
    <n v="99.8"/>
    <s v="הצפון"/>
    <s v="ראמה"/>
    <s v="מועצה מקומית"/>
    <x v="0"/>
  </r>
  <r>
    <n v="99.9"/>
    <s v="הצפון"/>
    <s v="ריינה"/>
    <s v="מועצה מקומית"/>
    <x v="0"/>
  </r>
  <r>
    <n v="99.9"/>
    <s v="הצפון"/>
    <s v="שבלי - אום אל-גנם"/>
    <s v="מועצה מקומית"/>
    <x v="0"/>
  </r>
  <r>
    <n v="99.9"/>
    <s v="הדרום"/>
    <s v="שגב-שלום"/>
    <s v="מועצה מקומית"/>
    <x v="0"/>
  </r>
  <r>
    <n v="100"/>
    <s v="הצפון"/>
    <s v="שעב"/>
    <s v="מועצה מקומית"/>
    <x v="0"/>
  </r>
  <r>
    <n v="99.8"/>
    <s v="הדרום"/>
    <s v="תל שבע"/>
    <s v="מועצה מקומית"/>
    <x v="0"/>
  </r>
  <r>
    <n v="99.6"/>
    <s v="הדרום"/>
    <s v="אל קסום"/>
    <s v="מועצה אזורית"/>
    <x v="0"/>
  </r>
  <r>
    <n v="99.9"/>
    <s v="הצפון"/>
    <s v="אל-בטוף"/>
    <s v="מועצה אזורית"/>
    <x v="0"/>
  </r>
  <r>
    <n v="99.9"/>
    <s v="הצפון"/>
    <s v="בוסתן אל-מרג'"/>
    <s v="מועצה אזורית"/>
    <x v="0"/>
  </r>
  <r>
    <n v="38.1"/>
    <s v="הצפון"/>
    <s v="הגלבוע"/>
    <s v="מועצה אזורית"/>
    <x v="1"/>
  </r>
  <r>
    <n v="32.299999999999997"/>
    <s v="חיפה"/>
    <s v="זבולון"/>
    <s v="מועצה אזורית"/>
    <x v="1"/>
  </r>
  <r>
    <n v="4.3"/>
    <s v="המרכז"/>
    <s v="חוף השרון"/>
    <s v="מועצה אזורית"/>
    <x v="1"/>
  </r>
  <r>
    <n v="15.4"/>
    <s v="הצפון"/>
    <s v="מטה אשר"/>
    <s v="מועצה אזורית"/>
    <x v="1"/>
  </r>
  <r>
    <n v="8.6999999999999993"/>
    <s v="ירושלים"/>
    <s v="מטה יהודה"/>
    <s v="מועצה אזורית"/>
    <x v="1"/>
  </r>
  <r>
    <n v="16.7"/>
    <s v="חיפה"/>
    <s v="מנשה"/>
    <s v="מועצה אזורית"/>
    <x v="1"/>
  </r>
  <r>
    <n v="17.399999999999999"/>
    <s v="הצפון"/>
    <s v="מרום הגליל"/>
    <s v="מועצה אזורית"/>
    <x v="1"/>
  </r>
  <r>
    <n v="26.4"/>
    <s v="הצפון"/>
    <s v="משגב"/>
    <s v="מועצה אזורית"/>
    <x v="1"/>
  </r>
  <r>
    <n v="99.7"/>
    <s v="הדרום"/>
    <s v="נווה מדבר"/>
    <s v="מועצה אזורית"/>
    <x v="0"/>
  </r>
  <r>
    <n v="4.9000000000000004"/>
    <s v="הצפון"/>
    <s v="עמק יזרעאל"/>
    <s v="מועצה אזורית"/>
    <x v="1"/>
  </r>
  <r>
    <n v="5.8"/>
    <s v="הדרום"/>
    <s v="רמת נגב"/>
    <s v="מועצה אזורית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s v="אום אל-פחם"/>
    <s v="עירייה"/>
    <x v="0"/>
    <n v="12.144814090019569"/>
    <n v="10.52"/>
    <n v="99.9"/>
    <n v="58664.530054457282"/>
    <n v="29908"/>
    <n v="28757"/>
    <n v="9.5"/>
    <n v="9.4"/>
    <n v="9.9"/>
    <n v="10.1"/>
    <n v="19.417028892866277"/>
    <n v="17.968124094434501"/>
    <n v="15.634535072019091"/>
    <n v="3.1"/>
    <n v="5"/>
    <n v="34.9"/>
    <n v="1.7"/>
    <n v="76"/>
    <n v="1271"/>
    <n v="28.7"/>
    <n v="24.3"/>
    <n v="117"/>
    <n v="26.1"/>
    <n v="9"/>
    <n v="54"/>
    <x v="0"/>
    <x v="0"/>
    <x v="0"/>
    <n v="0.5"/>
    <n v="38.285535182573263"/>
    <n v="18"/>
    <n v="16.7"/>
    <n v="76"/>
    <n v="39"/>
    <n v="26.9"/>
    <n v="124"/>
    <n v="272745"/>
    <m/>
    <n v="0"/>
    <n v="112906"/>
    <n v="67797"/>
    <n v="45096"/>
    <n v="82787.911099999998"/>
    <n v="285995"/>
    <n v="6843.5049190255395"/>
    <n v="140787.92079999999"/>
    <n v="104772.9111"/>
    <n v="30123.948199999999"/>
    <n v="1342.3449000000001"/>
  </r>
  <r>
    <s v="אופקים"/>
    <s v="עירייה"/>
    <x v="1"/>
    <n v="15.973813420621932"/>
    <n v="16.8"/>
    <s v="-"/>
    <n v="35506.139782210004"/>
    <n v="17626"/>
    <n v="17881"/>
    <n v="13.7"/>
    <n v="11.7"/>
    <n v="8.6999999999999993"/>
    <n v="6.8"/>
    <n v="14.887624626823637"/>
    <n v="19.774122683490113"/>
    <n v="11.964175069002422"/>
    <n v="3.8"/>
    <n v="8.6999999999999993"/>
    <n v="38.1"/>
    <n v="3.3"/>
    <n v="735"/>
    <n v="1179"/>
    <n v="154.30000000000001"/>
    <n v="113.7"/>
    <n v="650"/>
    <n v="69"/>
    <n v="55.4"/>
    <n v="282"/>
    <x v="1"/>
    <x v="1"/>
    <x v="1"/>
    <n v="3"/>
    <n v="68.598427830740931"/>
    <n v="82.3"/>
    <n v="81.900000000000006"/>
    <n v="590"/>
    <n v="33.6"/>
    <n v="26.4"/>
    <n v="170"/>
    <n v="140283"/>
    <m/>
    <n v="0"/>
    <n v="103835"/>
    <n v="54820"/>
    <n v="37121"/>
    <n v="79526"/>
    <n v="161639"/>
    <n v="7477.01669706759"/>
    <n v="67102"/>
    <n v="47696"/>
    <n v="7117"/>
    <n v="8869"/>
  </r>
  <r>
    <s v="אור יהודה"/>
    <s v="עירייה"/>
    <x v="1"/>
    <n v="17.956401668723192"/>
    <n v="16.809999999999999"/>
    <s v="-"/>
    <n v="38853.878165717513"/>
    <n v="19234"/>
    <n v="19620"/>
    <n v="8.9"/>
    <n v="8.4"/>
    <n v="7.1"/>
    <n v="6.7"/>
    <n v="13.229011170021105"/>
    <n v="20.891027950790136"/>
    <n v="15.970041694548822"/>
    <n v="5.0999999999999996"/>
    <n v="13.7"/>
    <n v="28.4"/>
    <n v="5.0999999999999996"/>
    <n v="1567"/>
    <n v="851"/>
    <n v="49.8"/>
    <n v="41.8"/>
    <n v="229"/>
    <n v="319.60000000000002"/>
    <n v="304.39999999999998"/>
    <n v="1436"/>
    <x v="2"/>
    <x v="2"/>
    <x v="2"/>
    <n v="4.2"/>
    <n v="72.438494934876985"/>
    <n v="63.5"/>
    <n v="58.9"/>
    <n v="318"/>
    <n v="17.2"/>
    <n v="10.7"/>
    <n v="64"/>
    <n v="227952"/>
    <m/>
    <n v="0"/>
    <n v="247126"/>
    <n v="148911"/>
    <n v="61531"/>
    <n v="67779"/>
    <n v="132667"/>
    <n v="9774.1079636956492"/>
    <n v="160605"/>
    <n v="70030"/>
    <n v="55093"/>
    <n v="23429"/>
  </r>
  <r>
    <s v="אור עקיבא"/>
    <s v="עירייה"/>
    <x v="1"/>
    <n v="21.477783325012481"/>
    <n v="18.420000000000002"/>
    <s v="-"/>
    <n v="20874.173811195935"/>
    <n v="10294"/>
    <n v="10581"/>
    <n v="8.6999999999999993"/>
    <n v="8.5"/>
    <n v="7.2"/>
    <n v="6"/>
    <n v="12.259269905145157"/>
    <n v="20.959087860496311"/>
    <n v="15.708536935901121"/>
    <n v="5.8"/>
    <n v="14.9"/>
    <n v="28.1"/>
    <n v="5.8"/>
    <n v="806"/>
    <n v="706"/>
    <n v="4.9000000000000004"/>
    <n v="3.6"/>
    <n v="15"/>
    <n v="30.2"/>
    <n v="16.600000000000001"/>
    <n v="109"/>
    <x v="2"/>
    <x v="2"/>
    <x v="3"/>
    <n v="9"/>
    <n v="63.940932702970876"/>
    <n v="8.1"/>
    <n v="7.3"/>
    <n v="29"/>
    <n v="46.4"/>
    <n v="40.9"/>
    <n v="270"/>
    <n v="127135"/>
    <m/>
    <n v="0"/>
    <n v="118760"/>
    <n v="59144"/>
    <n v="27110"/>
    <n v="57209"/>
    <n v="74147"/>
    <n v="9551.6594718139331"/>
    <n v="64052"/>
    <n v="37223"/>
    <n v="12774"/>
    <n v="8274"/>
  </r>
  <r>
    <s v="אילת"/>
    <s v="עירייה"/>
    <x v="1"/>
    <n v="18.109102543593025"/>
    <n v="12.49"/>
    <n v="4.9000000000000004"/>
    <n v="53150.843427848398"/>
    <n v="27544"/>
    <n v="25606"/>
    <n v="6.6"/>
    <n v="7.2"/>
    <n v="6.9"/>
    <n v="6.2"/>
    <n v="15.072152922804838"/>
    <n v="21.647758273597862"/>
    <n v="19.309138115933848"/>
    <n v="5.2"/>
    <n v="11.8"/>
    <n v="24.3"/>
    <n v="4.0999999999999996"/>
    <n v="188"/>
    <n v="1498"/>
    <n v="116"/>
    <n v="80.3"/>
    <n v="524"/>
    <n v="26.6"/>
    <n v="20"/>
    <n v="116"/>
    <x v="3"/>
    <x v="3"/>
    <x v="4"/>
    <n v="0.7"/>
    <n v="43.023434794320238"/>
    <n v="9.5"/>
    <n v="6.3"/>
    <n v="47"/>
    <n v="14.4"/>
    <n v="14.4"/>
    <n v="110"/>
    <n v="485280"/>
    <m/>
    <n v="0"/>
    <n v="445486"/>
    <n v="350884"/>
    <n v="84917"/>
    <n v="124912.28260000001"/>
    <n v="234388"/>
    <n v="12750.947388069226"/>
    <n v="362821.90529999998"/>
    <n v="96537.936000000002"/>
    <n v="98109.714999999997"/>
    <n v="13836.401"/>
  </r>
  <r>
    <s v="אלעד"/>
    <s v="עירייה"/>
    <x v="1"/>
    <n v="10.283097418817652"/>
    <n v="12.21"/>
    <s v="-"/>
    <n v="49487.433149577417"/>
    <n v="24804"/>
    <n v="24683"/>
    <n v="13.6"/>
    <n v="14.6"/>
    <n v="15.7"/>
    <n v="14.1"/>
    <n v="14.118859498454139"/>
    <n v="15.826378644896637"/>
    <n v="9.0064057227150567"/>
    <n v="1.1000000000000001"/>
    <n v="2"/>
    <n v="52.4"/>
    <n v="0.6"/>
    <n v="-914"/>
    <n v="843"/>
    <n v="7.9"/>
    <n v="6"/>
    <s v="-"/>
    <n v="11.6"/>
    <n v="4.7"/>
    <s v="-"/>
    <x v="0"/>
    <x v="0"/>
    <x v="5"/>
    <n v="0"/>
    <n v="84.364180380423164"/>
    <n v="18.5"/>
    <n v="17.899999999999999"/>
    <n v="87"/>
    <n v="3.6"/>
    <n v="3.6"/>
    <n v="7"/>
    <n v="137636"/>
    <m/>
    <n v="0"/>
    <n v="94330"/>
    <n v="49295"/>
    <n v="36367"/>
    <n v="48530.845000000001"/>
    <n v="161789"/>
    <n v="5172.8284072900224"/>
    <n v="67533.281539999996"/>
    <n v="48889.345000000001"/>
    <n v="14741.07994"/>
    <n v="96.715450000000004"/>
  </r>
  <r>
    <s v="אריאל"/>
    <s v="עירייה"/>
    <x v="1"/>
    <n v="18.881642253822303"/>
    <n v="28.84"/>
    <s v="-"/>
    <n v="20520.055215909462"/>
    <n v="10298"/>
    <n v="10222"/>
    <n v="6.7"/>
    <n v="7.6"/>
    <n v="6.9"/>
    <n v="5.2"/>
    <n v="21.773879142300196"/>
    <n v="17.563352826510723"/>
    <n v="15.311890838206626"/>
    <n v="5.5"/>
    <n v="13.5"/>
    <n v="24"/>
    <n v="5.2"/>
    <n v="144"/>
    <n v="499"/>
    <n v="76.3"/>
    <n v="53.3"/>
    <n v="437"/>
    <n v="30"/>
    <n v="16.600000000000001"/>
    <n v="185"/>
    <x v="3"/>
    <x v="3"/>
    <x v="0"/>
    <n v="4.0999999999999996"/>
    <n v="61.808261886204207"/>
    <n v="145.19999999999999"/>
    <n v="74"/>
    <n v="425"/>
    <n v="28"/>
    <n v="25.5"/>
    <n v="256"/>
    <n v="98440"/>
    <m/>
    <n v="0"/>
    <n v="89181"/>
    <n v="57170"/>
    <n v="23887"/>
    <n v="29624"/>
    <n v="69421"/>
    <n v="7723.5172289947341"/>
    <n v="64139"/>
    <n v="29500"/>
    <n v="12303"/>
    <n v="11412"/>
  </r>
  <r>
    <s v="אשדוד"/>
    <s v="עירייה"/>
    <x v="1"/>
    <n v="17.374144021471"/>
    <n v="18.12"/>
    <s v="-"/>
    <n v="226826.9499365105"/>
    <n v="110949"/>
    <n v="115878"/>
    <n v="8.8000000000000007"/>
    <n v="8.9"/>
    <n v="8.3000000000000007"/>
    <n v="7.4"/>
    <n v="13.304412614018613"/>
    <n v="16.540799816600316"/>
    <n v="16.155484135486518"/>
    <n v="4.9000000000000004"/>
    <n v="15.8"/>
    <n v="30.4"/>
    <n v="7"/>
    <n v="-1419"/>
    <n v="5513"/>
    <n v="341.1"/>
    <n v="209.6"/>
    <n v="1152"/>
    <n v="255.6"/>
    <n v="221.3"/>
    <n v="1304"/>
    <x v="2"/>
    <x v="2"/>
    <x v="5"/>
    <n v="6.6"/>
    <n v="64.387954935527887"/>
    <n v="185"/>
    <n v="76.099999999999994"/>
    <n v="396"/>
    <n v="203"/>
    <n v="150.80000000000001"/>
    <n v="861"/>
    <n v="1254010"/>
    <m/>
    <n v="0"/>
    <n v="1278015"/>
    <n v="845923"/>
    <n v="298887"/>
    <n v="332577"/>
    <n v="688042"/>
    <n v="8466.1368525102971"/>
    <n v="960705"/>
    <n v="378995"/>
    <n v="292022"/>
    <n v="88320"/>
  </r>
  <r>
    <s v="אשקלון"/>
    <s v="עירייה"/>
    <x v="1"/>
    <n v="17.217941623032935"/>
    <n v="21.73"/>
    <s v="-"/>
    <n v="153138.25632212483"/>
    <n v="74424"/>
    <n v="78715"/>
    <n v="8.3000000000000007"/>
    <n v="8.6"/>
    <n v="7.5"/>
    <n v="6"/>
    <n v="12.398620851780747"/>
    <n v="19.639802008645795"/>
    <n v="15.761600647781741"/>
    <n v="5.3"/>
    <n v="16.5"/>
    <n v="28"/>
    <n v="6.9"/>
    <n v="2932"/>
    <n v="4146"/>
    <n v="545.70000000000005"/>
    <n v="458.8"/>
    <n v="2524"/>
    <n v="461.2"/>
    <n v="430.2"/>
    <n v="2470"/>
    <x v="2"/>
    <x v="2"/>
    <x v="3"/>
    <n v="4.2"/>
    <n v="61.901940824057547"/>
    <n v="164.6"/>
    <n v="144"/>
    <n v="926"/>
    <n v="222.6"/>
    <n v="200.4"/>
    <n v="1288"/>
    <n v="731271"/>
    <m/>
    <n v="0"/>
    <n v="793003"/>
    <n v="539824"/>
    <n v="176546"/>
    <n v="222772.43"/>
    <n v="403880"/>
    <n v="7815.630324811792"/>
    <n v="592274.06000000006"/>
    <n v="212820.58"/>
    <n v="150774.6"/>
    <n v="97444.23"/>
  </r>
  <r>
    <s v="באקה אל-גרביה"/>
    <s v="עירייה"/>
    <x v="0"/>
    <n v="13.056702150771235"/>
    <n v="15.37"/>
    <n v="99.9"/>
    <n v="31397.336671209807"/>
    <n v="15857"/>
    <n v="15541"/>
    <n v="9"/>
    <n v="9.4"/>
    <n v="9.6999999999999993"/>
    <n v="10.3"/>
    <n v="17.998534891868651"/>
    <n v="19.001815460075804"/>
    <n v="15.275344778163518"/>
    <n v="3.3"/>
    <n v="5.9"/>
    <n v="34.200000000000003"/>
    <n v="2"/>
    <n v="29"/>
    <n v="549"/>
    <n v="32.200000000000003"/>
    <n v="28"/>
    <n v="139"/>
    <n v="21.5"/>
    <n v="15.4"/>
    <n v="78"/>
    <x v="4"/>
    <x v="4"/>
    <x v="3"/>
    <n v="2.5"/>
    <n v="47.546383762050084"/>
    <n v="18.899999999999999"/>
    <n v="12.9"/>
    <n v="61"/>
    <n v="35.4"/>
    <n v="29.6"/>
    <n v="140"/>
    <n v="131378"/>
    <m/>
    <n v="0"/>
    <n v="67314"/>
    <n v="40867"/>
    <n v="27715"/>
    <n v="43363.3462"/>
    <n v="137723"/>
    <n v="6611.3887994309771"/>
    <n v="62677.9882"/>
    <n v="44185.3462"/>
    <n v="12293.5893"/>
    <n v="858.17039999999997"/>
  </r>
  <r>
    <s v="באר יעקב"/>
    <s v="עירייה"/>
    <x v="1"/>
    <n v="14.983888292158969"/>
    <n v="37.39"/>
    <s v="-"/>
    <n v="31324.791315909428"/>
    <n v="15932"/>
    <n v="15393"/>
    <n v="11.5"/>
    <n v="13.3"/>
    <n v="9.8000000000000007"/>
    <n v="6.8"/>
    <n v="9.640861931364725"/>
    <n v="24.699122106943335"/>
    <n v="13.22585794094174"/>
    <n v="3"/>
    <n v="8.1"/>
    <n v="38.4"/>
    <n v="2.4"/>
    <n v="1180"/>
    <n v="585"/>
    <n v="214.4"/>
    <n v="183.2"/>
    <n v="928"/>
    <n v="174.7"/>
    <n v="168.1"/>
    <n v="897"/>
    <x v="5"/>
    <x v="5"/>
    <x v="2"/>
    <n v="1.7"/>
    <n v="77.752672765347725"/>
    <n v="133.19999999999999"/>
    <n v="119.8"/>
    <n v="530"/>
    <n v="27.2"/>
    <n v="26.5"/>
    <n v="144"/>
    <m/>
    <m/>
    <n v="0"/>
    <n v="185394"/>
    <n v="89749"/>
    <n v="49512"/>
    <n v="56750"/>
    <n v="81598"/>
    <n v="8516.0663102171802"/>
    <n v="110076"/>
    <n v="54069"/>
    <n v="35431"/>
    <n v="2660"/>
  </r>
  <r>
    <s v="באר שבע"/>
    <s v="עירייה"/>
    <x v="1"/>
    <n v="16.337040153273794"/>
    <n v="24.07"/>
    <s v="-"/>
    <n v="214161.73563819038"/>
    <n v="104957"/>
    <n v="109205"/>
    <n v="7.9"/>
    <n v="7.9"/>
    <n v="7"/>
    <n v="6.3"/>
    <n v="14.026764785536184"/>
    <n v="19.206021609809394"/>
    <n v="15.603608483297689"/>
    <n v="5.4"/>
    <n v="16.600000000000001"/>
    <n v="26.6"/>
    <n v="6.9"/>
    <n v="1390"/>
    <n v="5742"/>
    <n v="527.79999999999995"/>
    <n v="383"/>
    <n v="2117"/>
    <n v="350.9"/>
    <n v="307.8"/>
    <n v="1353"/>
    <x v="2"/>
    <x v="2"/>
    <x v="0"/>
    <n v="2.1"/>
    <n v="61.314409207906365"/>
    <n v="172.7"/>
    <n v="143.69999999999999"/>
    <n v="933"/>
    <n v="401.3"/>
    <n v="237.4"/>
    <n v="1387"/>
    <m/>
    <m/>
    <n v="68000"/>
    <n v="1387577"/>
    <n v="876600"/>
    <n v="342181"/>
    <n v="379082"/>
    <n v="755742"/>
    <n v="10324.001126584642"/>
    <n v="1047390.091"/>
    <n v="453022"/>
    <n v="458575"/>
    <n v="0"/>
  </r>
  <r>
    <s v="בית שאן"/>
    <s v="עירייה"/>
    <x v="1"/>
    <n v="12.716527409822703"/>
    <n v="15.97"/>
    <s v="-"/>
    <n v="19072.799516491632"/>
    <n v="9573"/>
    <n v="9499"/>
    <n v="9.6"/>
    <n v="8.5"/>
    <n v="8"/>
    <n v="7.2"/>
    <n v="15.283384889634563"/>
    <n v="18.28238871703455"/>
    <n v="15.550778587532113"/>
    <n v="5.3"/>
    <n v="12.2"/>
    <n v="30.3"/>
    <n v="3.9"/>
    <n v="-68"/>
    <n v="665"/>
    <n v="6.1"/>
    <n v="2.8"/>
    <n v="14"/>
    <n v="21.9"/>
    <n v="18"/>
    <n v="109"/>
    <x v="4"/>
    <x v="2"/>
    <x v="1"/>
    <n v="3.1"/>
    <n v="70.660262481396302"/>
    <n v="19.7"/>
    <n v="14.1"/>
    <n v="101"/>
    <n v="15.4"/>
    <n v="12.3"/>
    <n v="68"/>
    <m/>
    <m/>
    <n v="0"/>
    <n v="96127"/>
    <n v="50386"/>
    <n v="24523"/>
    <n v="27658.404999999999"/>
    <n v="92521"/>
    <n v="10645.264730248027"/>
    <n v="61420.803"/>
    <n v="32156.404999999999"/>
    <n v="11425.848"/>
    <n v="6461.1459999999997"/>
  </r>
  <r>
    <s v="בית שמש"/>
    <s v="עירייה"/>
    <x v="1"/>
    <n v="9.4566635181936771"/>
    <n v="11.02"/>
    <s v="-"/>
    <n v="154694.11829399713"/>
    <n v="77777"/>
    <n v="76917"/>
    <n v="18.3"/>
    <n v="15.6"/>
    <n v="12.4"/>
    <n v="9"/>
    <n v="15.224895600346491"/>
    <n v="15.734288336974931"/>
    <n v="8.1819592227235702"/>
    <n v="1.7"/>
    <n v="3.8"/>
    <n v="52.1"/>
    <n v="1.5"/>
    <n v="8196"/>
    <n v="2601"/>
    <n v="597.20000000000005"/>
    <n v="394.1"/>
    <n v="2652"/>
    <n v="410.3"/>
    <n v="328.8"/>
    <n v="2000"/>
    <x v="0"/>
    <x v="0"/>
    <x v="3"/>
    <n v="2.2999999999999998"/>
    <n v="66.127792580446808"/>
    <n v="123.6"/>
    <n v="95.6"/>
    <n v="714"/>
    <n v="157.30000000000001"/>
    <n v="102.7"/>
    <n v="722"/>
    <m/>
    <m/>
    <n v="0"/>
    <n v="373838"/>
    <n v="250679"/>
    <n v="120674"/>
    <n v="161697.56400000001"/>
    <n v="374978"/>
    <n v="4961.1323847584263"/>
    <n v="291617.55099999998"/>
    <n v="162482.56400000001"/>
    <n v="62784.51"/>
    <n v="33443.868000000002"/>
  </r>
  <r>
    <s v="ביתר עילית"/>
    <s v="עירייה"/>
    <x v="1"/>
    <n v="4.553365897479086"/>
    <n v="7.05"/>
    <s v="-"/>
    <n v="64015.88455374819"/>
    <n v="31851"/>
    <n v="32165"/>
    <n v="18.8"/>
    <n v="16.899999999999999"/>
    <n v="15.3"/>
    <n v="11"/>
    <n v="14.499500124968758"/>
    <n v="14.068357910522369"/>
    <n v="7.1169707573106731"/>
    <n v="0.9"/>
    <n v="1.3"/>
    <n v="58.5"/>
    <n v="0.4"/>
    <n v="-1706"/>
    <n v="1035"/>
    <n v="45.4"/>
    <n v="25.2"/>
    <n v="50"/>
    <n v="25.1"/>
    <n v="15"/>
    <n v="9"/>
    <x v="0"/>
    <x v="6"/>
    <x v="0"/>
    <n v="0.2"/>
    <n v="81.339109079746237"/>
    <n v="63.3"/>
    <n v="55.7"/>
    <n v="431"/>
    <n v="28.7"/>
    <n v="12.7"/>
    <n v="17"/>
    <m/>
    <m/>
    <n v="0"/>
    <n v="117096"/>
    <n v="40760"/>
    <n v="29640"/>
    <n v="37135.22"/>
    <n v="185863"/>
    <n v="4796.059636451957"/>
    <n v="61667.67"/>
    <n v="48518.22"/>
    <n v="9766.6200000000008"/>
    <n v="206.14"/>
  </r>
  <r>
    <s v="בני ברק"/>
    <s v="עירייה"/>
    <x v="1"/>
    <n v="5.7173955766527085"/>
    <n v="8"/>
    <s v="-"/>
    <n v="218357.32398734236"/>
    <n v="112181"/>
    <n v="106176"/>
    <n v="16.5"/>
    <n v="13.9"/>
    <n v="11.5"/>
    <n v="10.4"/>
    <n v="15.425198184624261"/>
    <n v="15.542437384649906"/>
    <n v="7.8138094954592701"/>
    <n v="2.1"/>
    <n v="6.7"/>
    <n v="48.2"/>
    <n v="2.7"/>
    <n v="-2329"/>
    <n v="2877"/>
    <n v="244.9"/>
    <n v="185.3"/>
    <n v="1121"/>
    <n v="246.7"/>
    <n v="105.4"/>
    <n v="528"/>
    <x v="0"/>
    <x v="0"/>
    <x v="6"/>
    <n v="5.6"/>
    <n v="76.526568961638958"/>
    <n v="106.4"/>
    <n v="83.6"/>
    <n v="439"/>
    <n v="176.7"/>
    <n v="73.900000000000006"/>
    <n v="383"/>
    <m/>
    <m/>
    <n v="0"/>
    <n v="855581"/>
    <n v="456612"/>
    <n v="147494"/>
    <n v="269997"/>
    <n v="875817"/>
    <n v="7927.3182524454332"/>
    <n v="636004"/>
    <n v="260567"/>
    <n v="306052"/>
    <n v="29239"/>
  </r>
  <r>
    <s v="בת ים"/>
    <s v="עירייה"/>
    <x v="1"/>
    <n v="20.009329108426758"/>
    <n v="11.51"/>
    <s v="-"/>
    <n v="128465.4867957431"/>
    <n v="61466"/>
    <n v="67000"/>
    <n v="5.7"/>
    <n v="6.1"/>
    <n v="5.6"/>
    <n v="5"/>
    <n v="10.683065426380727"/>
    <n v="19.740785427937571"/>
    <n v="18.40968357140077"/>
    <n v="5.9"/>
    <n v="22.9"/>
    <n v="20.399999999999999"/>
    <n v="10.6"/>
    <n v="2577"/>
    <n v="2678"/>
    <n v="617.9"/>
    <n v="607"/>
    <n v="3340"/>
    <n v="99.9"/>
    <n v="91.8"/>
    <n v="558"/>
    <x v="2"/>
    <x v="2"/>
    <x v="7"/>
    <n v="3.7"/>
    <n v="50.758365265908836"/>
    <n v="17.2"/>
    <n v="16"/>
    <n v="84"/>
    <n v="2.2000000000000002"/>
    <n v="1.7"/>
    <s v=".."/>
    <m/>
    <m/>
    <n v="0"/>
    <n v="592009"/>
    <n v="365595"/>
    <n v="218995"/>
    <n v="393019.14"/>
    <n v="394478"/>
    <n v="7678.614891861268"/>
    <n v="448785.68979999999"/>
    <n v="290600.64"/>
    <n v="102349.71"/>
    <n v="29941.456300000002"/>
  </r>
  <r>
    <s v="גבעת שמואל"/>
    <s v="עירייה"/>
    <x v="1"/>
    <n v="12.82316442605998"/>
    <n v="60.32"/>
    <s v="-"/>
    <n v="28994.399526070065"/>
    <n v="14476"/>
    <n v="14519"/>
    <n v="9.1999999999999993"/>
    <n v="9.6"/>
    <n v="9.4"/>
    <n v="7.8"/>
    <n v="13.106159895150721"/>
    <n v="18.583155135545283"/>
    <n v="15.775677726426157"/>
    <n v="3.4"/>
    <n v="13.2"/>
    <n v="33.200000000000003"/>
    <n v="6.1"/>
    <n v="576"/>
    <n v="504"/>
    <n v="182.5"/>
    <n v="182.4"/>
    <n v="767"/>
    <n v="32.5"/>
    <n v="27.2"/>
    <n v="106"/>
    <x v="6"/>
    <x v="7"/>
    <x v="6"/>
    <n v="0"/>
    <n v="74.92307692307692"/>
    <s v="-"/>
    <s v="-"/>
    <s v="-"/>
    <n v="3.5"/>
    <n v="2"/>
    <n v="7"/>
    <m/>
    <m/>
    <n v="0"/>
    <n v="148311"/>
    <n v="89192"/>
    <n v="61542"/>
    <n v="68109.289999999994"/>
    <n v="59591"/>
    <n v="6791.2425578240327"/>
    <n v="98767.86"/>
    <n v="70279.289999999994"/>
    <n v="19162.3"/>
    <n v="1423.18"/>
  </r>
  <r>
    <s v="גבעתיים"/>
    <s v="עירייה"/>
    <x v="1"/>
    <n v="14.660006116831481"/>
    <n v="59.68"/>
    <s v="-"/>
    <n v="61924.142691460962"/>
    <n v="29762"/>
    <n v="32162"/>
    <n v="7.4"/>
    <n v="6.9"/>
    <n v="6.1"/>
    <n v="4.9000000000000004"/>
    <n v="11.835475744460952"/>
    <n v="25.970544538466505"/>
    <n v="16.930430850720239"/>
    <n v="3.8"/>
    <n v="16.2"/>
    <n v="23.5"/>
    <n v="8.4"/>
    <n v="214"/>
    <n v="1465"/>
    <n v="44.8"/>
    <n v="43.4"/>
    <n v="220"/>
    <n v="48.3"/>
    <n v="45.8"/>
    <n v="392"/>
    <x v="7"/>
    <x v="8"/>
    <x v="6"/>
    <n v="0"/>
    <n v="68.973064996655935"/>
    <n v="190.4"/>
    <n v="135.30000000000001"/>
    <n v="626"/>
    <n v="17.5"/>
    <n v="16.899999999999999"/>
    <n v="83"/>
    <m/>
    <m/>
    <n v="0"/>
    <n v="368807"/>
    <n v="238912"/>
    <n v="147531"/>
    <n v="154394"/>
    <n v="137224"/>
    <n v="8085.4248155629575"/>
    <n v="274910"/>
    <n v="169562"/>
    <n v="73574"/>
    <n v="8791"/>
  </r>
  <r>
    <s v="דימונה"/>
    <s v="עירייה"/>
    <x v="1"/>
    <n v="16.591706888986398"/>
    <n v="14.69"/>
    <s v="-"/>
    <n v="36775.652756639531"/>
    <n v="18298"/>
    <n v="18478"/>
    <n v="8.6999999999999993"/>
    <n v="8.5"/>
    <n v="7.5"/>
    <n v="7.6"/>
    <n v="14.70796171416141"/>
    <n v="18.62899717206874"/>
    <n v="16.431912116597779"/>
    <n v="4.9000000000000004"/>
    <n v="13.1"/>
    <n v="29.3"/>
    <n v="5.0999999999999996"/>
    <n v="468"/>
    <n v="1353"/>
    <n v="66.099999999999994"/>
    <n v="60.2"/>
    <n v="341"/>
    <n v="51"/>
    <n v="49.3"/>
    <n v="287"/>
    <x v="4"/>
    <x v="2"/>
    <x v="8"/>
    <n v="0.3"/>
    <n v="63.573062088268429"/>
    <n v="30.4"/>
    <n v="25"/>
    <n v="135"/>
    <n v="33.299999999999997"/>
    <n v="31.3"/>
    <n v="195"/>
    <m/>
    <m/>
    <n v="0"/>
    <n v="188920"/>
    <n v="110059"/>
    <n v="46224"/>
    <n v="71849.919999999998"/>
    <n v="190279"/>
    <n v="10314.07933150879"/>
    <n v="103045.783"/>
    <n v="60285.919999999998"/>
    <n v="16855.490000000002"/>
    <n v="7026.64"/>
  </r>
  <r>
    <s v="הוד השרון"/>
    <s v="עירייה"/>
    <x v="1"/>
    <n v="14.578557427157049"/>
    <n v="57.76"/>
    <s v="-"/>
    <n v="65613.893098962522"/>
    <n v="31888"/>
    <n v="33726"/>
    <n v="7.1"/>
    <n v="8.6"/>
    <n v="8.6"/>
    <n v="7.8"/>
    <n v="10.557198158929497"/>
    <n v="17.520651080562075"/>
    <n v="19.959155058371689"/>
    <n v="4.5999999999999996"/>
    <n v="15.3"/>
    <n v="29.1"/>
    <n v="6.3"/>
    <n v="-143"/>
    <n v="1349"/>
    <n v="203.8"/>
    <n v="164.9"/>
    <n v="685"/>
    <n v="124"/>
    <n v="60.8"/>
    <n v="245"/>
    <x v="7"/>
    <x v="8"/>
    <x v="2"/>
    <n v="1.1000000000000001"/>
    <n v="74.357079818566191"/>
    <n v="188.6"/>
    <n v="167.1"/>
    <n v="669"/>
    <n v="134.6"/>
    <n v="133.19999999999999"/>
    <n v="461"/>
    <m/>
    <m/>
    <n v="0"/>
    <n v="401413"/>
    <n v="275280"/>
    <n v="160017"/>
    <n v="173646.07999999999"/>
    <n v="181877"/>
    <n v="9297.162097666258"/>
    <n v="294894.15000000002"/>
    <n v="174400.28"/>
    <n v="59810.32"/>
    <n v="35782.1"/>
  </r>
  <r>
    <s v="הרצלייה"/>
    <s v="עירייה"/>
    <x v="1"/>
    <n v="15.594936708860759"/>
    <n v="50.59"/>
    <s v="-"/>
    <n v="106740.70079003133"/>
    <n v="52110"/>
    <n v="54631"/>
    <n v="7.3"/>
    <n v="7.3"/>
    <n v="6.7"/>
    <n v="5.8"/>
    <n v="11.130680806812752"/>
    <n v="20.90012272697464"/>
    <n v="16.982228009855632"/>
    <n v="4.5999999999999996"/>
    <n v="19.3"/>
    <n v="24.9"/>
    <n v="8.8000000000000007"/>
    <n v="2722"/>
    <n v="2025"/>
    <n v="289.3"/>
    <n v="163.30000000000001"/>
    <n v="618"/>
    <n v="237.4"/>
    <n v="192.3"/>
    <n v="941"/>
    <x v="6"/>
    <x v="7"/>
    <x v="2"/>
    <n v="1.7"/>
    <n v="65.638915126163809"/>
    <n v="146.1"/>
    <n v="127.1"/>
    <n v="560"/>
    <n v="151"/>
    <n v="89.1"/>
    <n v="334"/>
    <m/>
    <m/>
    <n v="0"/>
    <n v="846181"/>
    <n v="639063"/>
    <n v="251510"/>
    <n v="288636.09100000001"/>
    <n v="298010"/>
    <n v="10197.628383021229"/>
    <n v="708088.10100000002"/>
    <n v="283795.09100000001"/>
    <n v="228702.125"/>
    <n v="72284.845000000001"/>
  </r>
  <r>
    <s v="חדרה"/>
    <s v="עירייה"/>
    <x v="1"/>
    <n v="17.28790831185702"/>
    <n v="25.06"/>
    <s v="-"/>
    <n v="103041.18670617031"/>
    <n v="50567"/>
    <n v="52475"/>
    <n v="8"/>
    <n v="8.1999999999999993"/>
    <n v="7.4"/>
    <n v="6.5"/>
    <n v="11.874884754612241"/>
    <n v="19.86490814336041"/>
    <n v="16.623479973990936"/>
    <n v="5.0999999999999996"/>
    <n v="16.5"/>
    <n v="27.5"/>
    <n v="6.8"/>
    <n v="1522"/>
    <n v="2806"/>
    <n v="84"/>
    <n v="79.3"/>
    <n v="395"/>
    <n v="49.6"/>
    <n v="44.3"/>
    <n v="220"/>
    <x v="3"/>
    <x v="3"/>
    <x v="3"/>
    <n v="1.9"/>
    <n v="62.748156374390142"/>
    <n v="167.4"/>
    <n v="150.30000000000001"/>
    <n v="865"/>
    <n v="135.9"/>
    <n v="123.6"/>
    <n v="757"/>
    <m/>
    <m/>
    <n v="0"/>
    <n v="590868"/>
    <n v="433727"/>
    <n v="175681"/>
    <n v="203499.6618"/>
    <n v="231749"/>
    <n v="7973.8309142629369"/>
    <n v="473894.45880000002"/>
    <n v="221583.6618"/>
    <n v="83412.473899999997"/>
    <n v="74739.627600000007"/>
  </r>
  <r>
    <s v="חולון"/>
    <s v="עירייה"/>
    <x v="1"/>
    <n v="18.332191665450136"/>
    <n v="24.44"/>
    <s v="-"/>
    <n v="197956.67614135618"/>
    <n v="95672"/>
    <n v="102285"/>
    <n v="6.8"/>
    <n v="7.5"/>
    <n v="7.5"/>
    <n v="6.5"/>
    <n v="11.390352450279606"/>
    <n v="19.415832731350751"/>
    <n v="17.776082684623429"/>
    <n v="4.8"/>
    <n v="18.3"/>
    <n v="25.7"/>
    <n v="8.3000000000000007"/>
    <n v="-92"/>
    <n v="4202"/>
    <n v="104.7"/>
    <n v="96.2"/>
    <n v="554"/>
    <n v="244.6"/>
    <n v="151.9"/>
    <n v="1100"/>
    <x v="5"/>
    <x v="5"/>
    <x v="7"/>
    <n v="8.6999999999999993"/>
    <n v="64.082687338501287"/>
    <n v="261"/>
    <n v="183.2"/>
    <n v="771"/>
    <n v="138.1"/>
    <n v="115.3"/>
    <n v="482"/>
    <m/>
    <m/>
    <n v="0"/>
    <n v="1132813"/>
    <n v="705655"/>
    <n v="315066"/>
    <n v="360149.08799999999"/>
    <n v="565863"/>
    <n v="8255.2507541249543"/>
    <n v="832681.30700000003"/>
    <n v="404034.08799999999"/>
    <n v="258705.769"/>
    <n v="95814.604000000007"/>
  </r>
  <r>
    <s v="חיפה"/>
    <s v="עירייה"/>
    <x v="2"/>
    <n v="15.378280694798164"/>
    <n v="36.14"/>
    <n v="12.1"/>
    <n v="290306.31322591665"/>
    <n v="140320"/>
    <n v="149987"/>
    <n v="6.4"/>
    <n v="6.8"/>
    <n v="6.4"/>
    <n v="5.8"/>
    <n v="13.124771792522372"/>
    <n v="19.091923694308761"/>
    <n v="16.521532451964479"/>
    <n v="5.0999999999999996"/>
    <n v="20.8"/>
    <n v="23"/>
    <n v="10.1"/>
    <n v="6352"/>
    <n v="5093"/>
    <n v="367.5"/>
    <n v="94.5"/>
    <n v="742"/>
    <n v="78.099999999999994"/>
    <n v="47.9"/>
    <n v="370"/>
    <x v="5"/>
    <x v="5"/>
    <x v="3"/>
    <n v="5.8"/>
    <n v="55.528796803689019"/>
    <n v="140.9"/>
    <n v="90"/>
    <n v="537"/>
    <n v="142.19999999999999"/>
    <n v="137"/>
    <n v="796"/>
    <m/>
    <m/>
    <n v="0"/>
    <n v="2556995"/>
    <n v="1538559"/>
    <n v="602810"/>
    <n v="850913"/>
    <n v="663994"/>
    <n v="11093.162130076964"/>
    <n v="1743837"/>
    <n v="754370"/>
    <n v="537913"/>
    <n v="175073"/>
  </r>
  <r>
    <s v="חריש"/>
    <s v="עירייה"/>
    <x v="1"/>
    <n v="17.780553820528837"/>
    <n v="27"/>
    <s v="-"/>
    <n v="33380.12661251791"/>
    <n v="16543"/>
    <n v="16837"/>
    <n v="19.3"/>
    <n v="15.2"/>
    <n v="8.9"/>
    <n v="3.6"/>
    <n v="10.629119233073697"/>
    <n v="26.908328340323546"/>
    <n v="9.1851408028759742"/>
    <n v="1.9"/>
    <n v="4.3"/>
    <n v="45.8"/>
    <n v="1.1000000000000001"/>
    <n v="5452"/>
    <n v="1145"/>
    <n v="57.5"/>
    <n v="39.4"/>
    <n v="243"/>
    <n v="113.9"/>
    <n v="110.9"/>
    <n v="795"/>
    <x v="2"/>
    <x v="2"/>
    <x v="0"/>
    <n v="0"/>
    <n v="71.399617812264751"/>
    <n v="3.7"/>
    <n v="3.7"/>
    <n v="19"/>
    <n v="0.5"/>
    <n v="0.5"/>
    <n v="3"/>
    <m/>
    <m/>
    <n v="0"/>
    <n v="112111"/>
    <n v="61238"/>
    <n v="56015"/>
    <n v="74758.34"/>
    <n v="150201"/>
    <n v="8596.9715852540794"/>
    <n v="76992.271999999997"/>
    <n v="69697.34"/>
    <n v="6611.0709999999999"/>
    <n v="0"/>
  </r>
  <r>
    <s v="טבריה"/>
    <s v="עירייה"/>
    <x v="1"/>
    <n v="13.200934579439252"/>
    <n v="12.23"/>
    <s v="-"/>
    <n v="48471.598229389449"/>
    <n v="24258"/>
    <n v="24213"/>
    <n v="11.4"/>
    <n v="9.4"/>
    <n v="7.5"/>
    <n v="6.8"/>
    <n v="15.035484403366892"/>
    <n v="16.735434890245916"/>
    <n v="14.286598448588874"/>
    <n v="5"/>
    <n v="13.9"/>
    <n v="32.4"/>
    <n v="5.4"/>
    <n v="966"/>
    <n v="1471"/>
    <n v="38.4"/>
    <n v="31.4"/>
    <n v="156"/>
    <n v="25.5"/>
    <n v="18.8"/>
    <n v="115"/>
    <x v="1"/>
    <x v="4"/>
    <x v="1"/>
    <n v="1.4"/>
    <n v="61.737779957495512"/>
    <n v="53.1"/>
    <n v="47"/>
    <n v="326"/>
    <n v="74.400000000000006"/>
    <n v="23.6"/>
    <n v="133"/>
    <m/>
    <m/>
    <n v="0"/>
    <n v="229341"/>
    <n v="150390"/>
    <n v="58943"/>
    <n v="76671"/>
    <n v="174721"/>
    <n v="8333.0860700833091"/>
    <n v="168048"/>
    <n v="77311"/>
    <n v="48152"/>
    <n v="8376"/>
  </r>
  <r>
    <s v="טייבה"/>
    <s v="עירייה"/>
    <x v="0"/>
    <n v="11.419225699360446"/>
    <n v="16.010000000000002"/>
    <n v="99.9"/>
    <n v="46020.49041020091"/>
    <n v="23179"/>
    <n v="22842"/>
    <n v="9.1999999999999993"/>
    <n v="9.4"/>
    <n v="9.8000000000000007"/>
    <n v="10.4"/>
    <n v="17.705345501955673"/>
    <n v="18.04432855280313"/>
    <n v="15.732290308561495"/>
    <n v="3.6"/>
    <n v="6.1"/>
    <n v="34.6"/>
    <n v="2.2999999999999998"/>
    <n v="22"/>
    <n v="813"/>
    <n v="22"/>
    <n v="14.7"/>
    <n v="80"/>
    <n v="19.8"/>
    <n v="13.2"/>
    <n v="66"/>
    <x v="1"/>
    <x v="1"/>
    <x v="3"/>
    <n v="5.3"/>
    <n v="57.713141393913524"/>
    <n v="18.8"/>
    <n v="11.6"/>
    <n v="59"/>
    <n v="14.3"/>
    <n v="9.6"/>
    <n v="49"/>
    <m/>
    <m/>
    <n v="0"/>
    <n v="93098"/>
    <n v="47582"/>
    <n v="37649"/>
    <n v="56909.531000000003"/>
    <n v="132719"/>
    <n v="5103.6613887960229"/>
    <n v="75705.312999999995"/>
    <n v="59786.911"/>
    <n v="11457.097"/>
    <n v="999.226"/>
  </r>
  <r>
    <s v="טירה"/>
    <s v="עירייה"/>
    <x v="0"/>
    <n v="14.575991602309365"/>
    <n v="18.760000000000002"/>
    <n v="99.7"/>
    <n v="27802.423143876887"/>
    <n v="13976"/>
    <n v="13826"/>
    <n v="8.6"/>
    <n v="8.9"/>
    <n v="8.4"/>
    <n v="8.6999999999999993"/>
    <n v="17.549097187252716"/>
    <n v="20.074095388820947"/>
    <n v="15.937702323573843"/>
    <n v="4.3"/>
    <n v="7.6"/>
    <n v="30.8"/>
    <n v="2.8"/>
    <n v="60"/>
    <n v="309"/>
    <n v="20.8"/>
    <n v="19.5"/>
    <n v="100"/>
    <n v="14.7"/>
    <n v="11.9"/>
    <n v="70"/>
    <x v="2"/>
    <x v="2"/>
    <x v="3"/>
    <n v="2.1"/>
    <n v="62.270303845954757"/>
    <n v="44.5"/>
    <n v="18.7"/>
    <n v="101"/>
    <n v="28.9"/>
    <n v="21.8"/>
    <n v="114"/>
    <m/>
    <m/>
    <n v="0"/>
    <n v="57966"/>
    <n v="40730"/>
    <n v="23388"/>
    <n v="38359"/>
    <n v="72352"/>
    <n v="4686.5699196689047"/>
    <n v="62399.67"/>
    <n v="37188.22"/>
    <n v="13516.48"/>
    <n v="0"/>
  </r>
  <r>
    <s v="טירת כרמל"/>
    <s v="עירייה"/>
    <x v="1"/>
    <n v="15.396031870020311"/>
    <n v="24.48"/>
    <s v="-"/>
    <n v="28752.661415046536"/>
    <n v="14158"/>
    <n v="14595"/>
    <n v="10.1"/>
    <n v="8.9"/>
    <n v="6.2"/>
    <n v="5.3"/>
    <n v="10.896254303898724"/>
    <n v="23.955761137968214"/>
    <n v="15.045386568358085"/>
    <n v="5.0999999999999996"/>
    <n v="14.5"/>
    <n v="28.3"/>
    <n v="5.2"/>
    <n v="1651"/>
    <n v="784"/>
    <n v="43.6"/>
    <n v="28.3"/>
    <n v="187"/>
    <n v="90.7"/>
    <n v="57.8"/>
    <n v="507"/>
    <x v="3"/>
    <x v="2"/>
    <x v="0"/>
    <n v="5"/>
    <n v="68.51692419230595"/>
    <n v="67.099999999999994"/>
    <n v="60.1"/>
    <n v="534"/>
    <n v="16.2"/>
    <n v="14"/>
    <n v="93"/>
    <m/>
    <m/>
    <n v="0"/>
    <n v="173463"/>
    <n v="105168"/>
    <n v="43583"/>
    <n v="60162"/>
    <n v="124525"/>
    <n v="10363.423256675167"/>
    <n v="89131"/>
    <n v="44598"/>
    <n v="20845"/>
    <n v="10027"/>
  </r>
  <r>
    <s v="טמרה"/>
    <s v="עירייה"/>
    <x v="0"/>
    <n v="14.699731102479833"/>
    <n v="15.41"/>
    <n v="99.9"/>
    <n v="35833.963184621796"/>
    <n v="18120"/>
    <n v="17714"/>
    <n v="8.6"/>
    <n v="8.8000000000000007"/>
    <n v="9.4"/>
    <n v="9.8000000000000007"/>
    <n v="18.11129095272646"/>
    <n v="19.1187140704359"/>
    <n v="16.358765418317802"/>
    <n v="3.7"/>
    <n v="6.2"/>
    <n v="32.6"/>
    <n v="2.1"/>
    <n v="-22"/>
    <n v="603"/>
    <n v="13.9"/>
    <n v="7.4"/>
    <n v="39"/>
    <n v="7.8"/>
    <n v="7.2"/>
    <n v="32"/>
    <x v="1"/>
    <x v="1"/>
    <x v="9"/>
    <n v="0.7"/>
    <n v="63.51467167285638"/>
    <n v="40"/>
    <n v="32.200000000000003"/>
    <n v="138"/>
    <n v="64.2"/>
    <n v="53.9"/>
    <n v="199"/>
    <m/>
    <m/>
    <n v="0"/>
    <n v="72850"/>
    <n v="44489"/>
    <n v="29090"/>
    <n v="99981.540900000007"/>
    <n v="193574"/>
    <n v="7660.0793103956257"/>
    <n v="62561.0985"/>
    <n v="44041.5409"/>
    <n v="13321.968000000001"/>
    <n v="1554.4934000000001"/>
  </r>
  <r>
    <s v="יבנה"/>
    <s v="עירייה"/>
    <x v="1"/>
    <n v="15.78242117164273"/>
    <n v="34.32"/>
    <s v="-"/>
    <n v="56231.919169910732"/>
    <n v="27903"/>
    <n v="28329"/>
    <n v="10.9"/>
    <n v="11.7"/>
    <n v="8.6"/>
    <n v="5.7"/>
    <n v="10.355313700384123"/>
    <n v="23.011808223075828"/>
    <n v="13.757291222079953"/>
    <n v="4.0999999999999996"/>
    <n v="11.8"/>
    <n v="34.9"/>
    <n v="3.6"/>
    <n v="1856"/>
    <n v="1191"/>
    <n v="95.4"/>
    <n v="67.7"/>
    <n v="321"/>
    <n v="125.3"/>
    <n v="113.7"/>
    <n v="514"/>
    <x v="5"/>
    <x v="5"/>
    <x v="5"/>
    <n v="3.4"/>
    <n v="75.612404332512384"/>
    <n v="152.30000000000001"/>
    <n v="116.1"/>
    <n v="613"/>
    <n v="184"/>
    <n v="182.8"/>
    <n v="1150"/>
    <m/>
    <m/>
    <n v="0"/>
    <n v="269953"/>
    <n v="220086"/>
    <n v="98317"/>
    <n v="117957.13452000001"/>
    <n v="183190"/>
    <n v="8005.0442283475522"/>
    <n v="234789.43487999999"/>
    <n v="112130.13452000001"/>
    <n v="38614.843659999999"/>
    <n v="49689.884310000001"/>
  </r>
  <r>
    <s v="יהוד-מונוסון"/>
    <s v="עירייה"/>
    <x v="1"/>
    <n v="15.077557990607657"/>
    <n v="37.78"/>
    <s v="-"/>
    <n v="31404.972089527506"/>
    <n v="15430"/>
    <n v="15975"/>
    <n v="7"/>
    <n v="8"/>
    <n v="7.7"/>
    <n v="7.4"/>
    <n v="12.045852571246616"/>
    <n v="16.924056678872791"/>
    <n v="18.799554211112877"/>
    <n v="4.8"/>
    <n v="17.399999999999999"/>
    <n v="27.1"/>
    <n v="6.8"/>
    <n v="609"/>
    <n v="611"/>
    <n v="10.8"/>
    <n v="7"/>
    <n v="24"/>
    <n v="48.1"/>
    <n v="48.1"/>
    <n v="272"/>
    <x v="5"/>
    <x v="5"/>
    <x v="2"/>
    <n v="7.1"/>
    <n v="74.271824661146127"/>
    <n v="53.7"/>
    <n v="53.2"/>
    <n v="224"/>
    <n v="23.1"/>
    <n v="22.2"/>
    <n v="89"/>
    <m/>
    <m/>
    <n v="0"/>
    <n v="176130"/>
    <n v="138331"/>
    <n v="69803"/>
    <n v="81613.789000000004"/>
    <n v="63174"/>
    <n v="7566.0312425252951"/>
    <n v="151790.08600000001"/>
    <n v="80316.089000000007"/>
    <n v="29119.584999999999"/>
    <n v="35649.980000000003"/>
  </r>
  <r>
    <s v="יקנעם עילית"/>
    <s v="עירייה"/>
    <x v="1"/>
    <n v="13.700362532670097"/>
    <n v="42.23"/>
    <s v="-"/>
    <n v="24617.305131321598"/>
    <n v="12120"/>
    <n v="12497"/>
    <n v="7.1"/>
    <n v="8.6"/>
    <n v="8.6"/>
    <n v="8.1999999999999993"/>
    <n v="13.007271397814518"/>
    <n v="17.833204695941831"/>
    <n v="20.022748507129222"/>
    <n v="4.4000000000000004"/>
    <n v="12.3"/>
    <n v="29.1"/>
    <n v="4.7"/>
    <n v="334"/>
    <n v="634"/>
    <n v="73.8"/>
    <n v="43.8"/>
    <n v="264"/>
    <n v="48"/>
    <n v="43.9"/>
    <n v="301"/>
    <x v="5"/>
    <x v="5"/>
    <x v="0"/>
    <n v="6.2"/>
    <n v="67.554006232504094"/>
    <n v="64.7"/>
    <n v="57.3"/>
    <n v="402"/>
    <n v="52.4"/>
    <n v="30.5"/>
    <n v="169"/>
    <m/>
    <m/>
    <n v="0"/>
    <n v="147321"/>
    <n v="97661"/>
    <n v="29710"/>
    <n v="30387"/>
    <n v="87210"/>
    <n v="9520.2540956365865"/>
    <n v="103469"/>
    <n v="36093"/>
    <n v="14817"/>
    <n v="36832"/>
  </r>
  <r>
    <s v="ירושלים"/>
    <s v="עירייה"/>
    <x v="2"/>
    <n v="8.1932756082075944"/>
    <n v="17.11"/>
    <n v="39.200000000000003"/>
    <n v="981711.23465278896"/>
    <n v="491084"/>
    <n v="490627"/>
    <n v="12"/>
    <n v="10.9"/>
    <n v="10.1"/>
    <n v="9.4"/>
    <n v="16.590116643289115"/>
    <n v="16.728344696147847"/>
    <n v="11.616758903587716"/>
    <n v="3.2"/>
    <n v="9.5"/>
    <n v="38.6"/>
    <n v="4.2"/>
    <n v="-7128"/>
    <n v="12213"/>
    <n v="1027.3"/>
    <n v="786.6"/>
    <n v="4630"/>
    <n v="1074.4000000000001"/>
    <n v="726.4"/>
    <n v="3097"/>
    <x v="0"/>
    <x v="0"/>
    <x v="7"/>
    <n v="1.3"/>
    <n v="61.601619901648832"/>
    <n v="880.5"/>
    <n v="645.4"/>
    <n v="3491"/>
    <n v="696.6"/>
    <n v="524.6"/>
    <n v="2469"/>
    <m/>
    <m/>
    <n v="0"/>
    <n v="4087622"/>
    <n v="2494946"/>
    <n v="1223182"/>
    <n v="1605985.1"/>
    <n v="3517582"/>
    <n v="7746.6343783767707"/>
    <n v="3448948.21"/>
    <n v="1607531.15"/>
    <n v="1393995.76"/>
    <n v="72027.61"/>
  </r>
  <r>
    <s v="כפר יונה"/>
    <s v="עירייה"/>
    <x v="1"/>
    <n v="15.425101214574898"/>
    <n v="39.119999999999997"/>
    <s v="-"/>
    <n v="29449.515406462488"/>
    <n v="14623"/>
    <n v="14826"/>
    <n v="9.1999999999999993"/>
    <n v="9.4"/>
    <n v="9.5"/>
    <n v="7.9"/>
    <n v="11.466893039049236"/>
    <n v="20.736842105263158"/>
    <n v="17.847198641765704"/>
    <n v="4.0999999999999996"/>
    <n v="9.9"/>
    <n v="33"/>
    <n v="3.2"/>
    <n v="1164"/>
    <n v="735"/>
    <n v="113.6"/>
    <n v="41.1"/>
    <n v="241"/>
    <n v="61.7"/>
    <n v="60"/>
    <n v="358"/>
    <x v="5"/>
    <x v="5"/>
    <x v="3"/>
    <n v="0.3"/>
    <n v="73.766596063439579"/>
    <n v="14.7"/>
    <n v="13.7"/>
    <n v="74"/>
    <n v="40.9"/>
    <n v="39.1"/>
    <n v="262"/>
    <m/>
    <m/>
    <n v="0"/>
    <n v="103063"/>
    <n v="70104"/>
    <n v="56003"/>
    <n v="62076"/>
    <n v="103273"/>
    <n v="7004.6653451802622"/>
    <n v="70083.887000000002"/>
    <n v="61823"/>
    <n v="5803"/>
    <n v="28.294"/>
  </r>
  <r>
    <s v="כפר סבא"/>
    <s v="עירייה"/>
    <x v="1"/>
    <n v="14.859786693311902"/>
    <n v="50.88"/>
    <s v="-"/>
    <n v="101556.22780039557"/>
    <n v="48861"/>
    <n v="52695"/>
    <n v="6.5"/>
    <n v="8.1999999999999993"/>
    <n v="8"/>
    <n v="6.7"/>
    <n v="9.4745756036078621"/>
    <n v="18.088542282090671"/>
    <n v="17.884713852455789"/>
    <n v="4.5999999999999996"/>
    <n v="20.5"/>
    <n v="26.9"/>
    <n v="9.1999999999999993"/>
    <n v="-372"/>
    <n v="2070"/>
    <n v="124.6"/>
    <n v="118.5"/>
    <n v="613"/>
    <n v="101.4"/>
    <n v="46.7"/>
    <n v="246"/>
    <x v="6"/>
    <x v="7"/>
    <x v="2"/>
    <n v="4.8"/>
    <n v="69.885119346195722"/>
    <n v="80.3"/>
    <n v="61.1"/>
    <n v="265"/>
    <n v="179.2"/>
    <n v="160.5"/>
    <n v="745"/>
    <m/>
    <m/>
    <n v="0"/>
    <n v="669133"/>
    <n v="425349"/>
    <n v="223219"/>
    <n v="236402.55900000001"/>
    <n v="320407"/>
    <n v="9709.9805827581058"/>
    <n v="470143.87300000002"/>
    <n v="258214.84099999999"/>
    <n v="151683.58100000001"/>
    <n v="33174.114999999998"/>
  </r>
  <r>
    <s v="כפר קאסם"/>
    <s v="עירייה"/>
    <x v="0"/>
    <n v="15.215224286361575"/>
    <n v="15.03"/>
    <n v="99.8"/>
    <n v="25284.674812562542"/>
    <n v="12933"/>
    <n v="12352"/>
    <n v="10.8"/>
    <n v="10.1"/>
    <n v="9.8000000000000007"/>
    <n v="9.9"/>
    <n v="19.125964010282775"/>
    <n v="18.180739568914376"/>
    <n v="14.514534308878781"/>
    <n v="3"/>
    <n v="4.5999999999999996"/>
    <n v="36.4"/>
    <n v="1.6"/>
    <n v="28"/>
    <n v="206"/>
    <n v="42.3"/>
    <n v="23.3"/>
    <n v="116"/>
    <n v="54.3"/>
    <n v="20.9"/>
    <n v="93"/>
    <x v="4"/>
    <x v="1"/>
    <x v="5"/>
    <n v="1.1000000000000001"/>
    <n v="66.879445559000544"/>
    <n v="53.5"/>
    <n v="25"/>
    <n v="116"/>
    <n v="39"/>
    <n v="21.6"/>
    <n v="96"/>
    <m/>
    <m/>
    <n v="0"/>
    <n v="69373"/>
    <n v="48976"/>
    <n v="22479"/>
    <n v="37411"/>
    <n v="134399"/>
    <n v="8054.2859067666441"/>
    <n v="58680"/>
    <n v="28547"/>
    <n v="3547.5"/>
    <n v="23148.5"/>
  </r>
  <r>
    <s v="כרמיאל"/>
    <s v="עירייה"/>
    <x v="1"/>
    <n v="17.295473467420358"/>
    <n v="24.06"/>
    <n v="4.2"/>
    <n v="47316.534406191255"/>
    <n v="23061"/>
    <n v="24255"/>
    <n v="6.4"/>
    <n v="7"/>
    <n v="7"/>
    <n v="7.3"/>
    <n v="12.498679121668745"/>
    <n v="17.243274087537248"/>
    <n v="17.101675930426698"/>
    <n v="5.8"/>
    <n v="19.7"/>
    <n v="24.5"/>
    <n v="7.9"/>
    <n v="760"/>
    <n v="1250"/>
    <n v="94"/>
    <n v="42.1"/>
    <n v="266"/>
    <n v="78.3"/>
    <n v="61.5"/>
    <n v="340"/>
    <x v="2"/>
    <x v="3"/>
    <x v="9"/>
    <n v="5.4"/>
    <n v="57.125876619517413"/>
    <n v="38.799999999999997"/>
    <n v="26.5"/>
    <n v="199"/>
    <n v="24.2"/>
    <n v="15.3"/>
    <n v="96"/>
    <m/>
    <m/>
    <n v="0"/>
    <n v="260994"/>
    <n v="183588"/>
    <n v="70776"/>
    <n v="78286"/>
    <n v="112312"/>
    <n v="7881.3887086203067"/>
    <n v="211909"/>
    <n v="90652"/>
    <n v="62907"/>
    <n v="27697"/>
  </r>
  <r>
    <s v="לוד"/>
    <s v="עירייה"/>
    <x v="2"/>
    <n v="14.464427550209919"/>
    <n v="13.93"/>
    <n v="29.4"/>
    <n v="85351.369738558118"/>
    <n v="42370"/>
    <n v="42982"/>
    <n v="12.3"/>
    <n v="10.7"/>
    <n v="8.6999999999999993"/>
    <n v="7"/>
    <n v="14.585652189195205"/>
    <n v="17.362421061264659"/>
    <n v="13.391758737448889"/>
    <n v="3.8"/>
    <n v="12.1"/>
    <n v="36.1"/>
    <n v="5.2"/>
    <n v="1437"/>
    <n v="1658"/>
    <n v="280.8"/>
    <n v="265.7"/>
    <n v="1435"/>
    <n v="51.2"/>
    <n v="41.8"/>
    <n v="293"/>
    <x v="1"/>
    <x v="4"/>
    <x v="2"/>
    <n v="6.1"/>
    <n v="60.682991441380253"/>
    <n v="8.4"/>
    <n v="7.4"/>
    <n v="36"/>
    <n v="25.9"/>
    <n v="15.3"/>
    <n v="122"/>
    <m/>
    <m/>
    <n v="0"/>
    <n v="327126.91149999999"/>
    <n v="238778"/>
    <n v="81584"/>
    <n v="144746.4785"/>
    <n v="304467.98220000003"/>
    <n v="7377.5241539625413"/>
    <n v="286783.06530000002"/>
    <n v="111418.87450000001"/>
    <n v="104978.579"/>
    <n v="42046.2284"/>
  </r>
  <r>
    <s v="מגאר"/>
    <s v="עירייה"/>
    <x v="0"/>
    <n v="16.405859830198104"/>
    <n v="15.7"/>
    <n v="99.9"/>
    <n v="23997.966840013607"/>
    <n v="12369"/>
    <n v="11629"/>
    <n v="8.6999999999999993"/>
    <n v="8.1999999999999993"/>
    <n v="8.4"/>
    <n v="8.3000000000000007"/>
    <n v="18.34319526627219"/>
    <n v="22.318526543878654"/>
    <n v="15.917993166097174"/>
    <n v="3.5"/>
    <n v="6.4"/>
    <n v="30.1"/>
    <n v="2.2999999999999998"/>
    <n v="19"/>
    <n v="658"/>
    <n v="23"/>
    <n v="17.899999999999999"/>
    <n v="84"/>
    <n v="8.3000000000000007"/>
    <n v="7.8"/>
    <n v="34"/>
    <x v="1"/>
    <x v="1"/>
    <x v="1"/>
    <n v="0.1"/>
    <n v="44.032220131702729"/>
    <n v="16"/>
    <n v="16"/>
    <n v="78"/>
    <n v="25.8"/>
    <n v="23.6"/>
    <n v="106"/>
    <m/>
    <m/>
    <n v="0"/>
    <n v="49344"/>
    <n v="24875"/>
    <n v="15530"/>
    <n v="26858"/>
    <n v="132448"/>
    <n v="7786.8263276545995"/>
    <n v="39678.01"/>
    <n v="27025.42"/>
    <n v="5261.35"/>
    <n v="11.72"/>
  </r>
  <r>
    <s v="מגדל העמק"/>
    <s v="עירייה"/>
    <x v="1"/>
    <n v="15.378498727735368"/>
    <n v="16.93"/>
    <s v="-"/>
    <n v="27088.052920582682"/>
    <n v="13481"/>
    <n v="13607"/>
    <n v="8.4"/>
    <n v="8.5"/>
    <n v="8.1"/>
    <n v="8.1999999999999993"/>
    <n v="12.780567040756056"/>
    <n v="18.037507383343176"/>
    <n v="15.674837566450089"/>
    <n v="5.0999999999999996"/>
    <n v="15.2"/>
    <n v="29.7"/>
    <n v="6"/>
    <n v="769"/>
    <n v="939"/>
    <n v="79.099999999999994"/>
    <n v="70.400000000000006"/>
    <n v="476"/>
    <n v="10.5"/>
    <n v="5.6"/>
    <n v="35"/>
    <x v="4"/>
    <x v="2"/>
    <x v="9"/>
    <n v="9.1999999999999993"/>
    <n v="63.973491897780399"/>
    <n v="12.4"/>
    <n v="9.6999999999999993"/>
    <n v="67"/>
    <n v="11.6"/>
    <n v="9.1999999999999993"/>
    <n v="55"/>
    <m/>
    <m/>
    <n v="0"/>
    <n v="130405"/>
    <n v="93158"/>
    <n v="29615"/>
    <n v="32617.360000000001"/>
    <n v="102969"/>
    <n v="8606.7463277454717"/>
    <n v="104040.54"/>
    <n v="41247.360000000001"/>
    <n v="12585"/>
    <n v="38934.22"/>
  </r>
  <r>
    <s v="מודיעין עילית"/>
    <s v="עירייה"/>
    <x v="1"/>
    <n v="13.124824158304419"/>
    <n v="58.03"/>
    <s v="-"/>
    <n v="83356.355587009661"/>
    <n v="42030"/>
    <n v="41326"/>
    <n v="19.3"/>
    <n v="18.899999999999999"/>
    <n v="16.600000000000001"/>
    <n v="10.9"/>
    <n v="12.222275541052834"/>
    <n v="14.939536446086665"/>
    <n v="5.5400930946782472"/>
    <n v="0.5"/>
    <n v="1.1000000000000001"/>
    <n v="62.2"/>
    <n v="0.4"/>
    <n v="-772"/>
    <n v="1163"/>
    <n v="64.099999999999994"/>
    <n v="53.3"/>
    <n v="274"/>
    <n v="56.4"/>
    <n v="33"/>
    <n v="130"/>
    <x v="8"/>
    <x v="8"/>
    <x v="3"/>
    <n v="1.5"/>
    <n v="82.033218959706062"/>
    <n v="213.1"/>
    <n v="103.3"/>
    <n v="620"/>
    <n v="145"/>
    <n v="33"/>
    <n v="146"/>
    <m/>
    <m/>
    <n v="0"/>
    <n v="456258"/>
    <n v="347707"/>
    <n v="194030"/>
    <n v="200067"/>
    <n v="338640"/>
    <n v="7993.3189453223085"/>
    <n v="366569.13130000001"/>
    <n v="208886.25599999999"/>
    <n v="116659.1991"/>
    <n v="11132.9203"/>
  </r>
  <r>
    <s v="מודיעין-מכבים-רעות"/>
    <s v="עירייה"/>
    <x v="1"/>
    <n v="4.2726396917148364"/>
    <n v="4.3499999999999996"/>
    <s v="-"/>
    <n v="99170.570500491449"/>
    <n v="48983"/>
    <n v="50187"/>
    <n v="6.5"/>
    <n v="8.6999999999999993"/>
    <n v="10.6"/>
    <n v="10.199999999999999"/>
    <n v="12.615583184600338"/>
    <n v="15.655786469834931"/>
    <n v="21.491161730747901"/>
    <n v="4.0999999999999996"/>
    <n v="10.1"/>
    <n v="32.200000000000003"/>
    <n v="4"/>
    <n v="1396"/>
    <n v="1868"/>
    <n v="166.2"/>
    <n v="54.4"/>
    <n v="282"/>
    <n v="177.5"/>
    <n v="150"/>
    <n v="632"/>
    <x v="6"/>
    <x v="6"/>
    <x v="3"/>
    <n v="1.3"/>
    <n v="74.690805062705891"/>
    <n v="87.9"/>
    <n v="55.4"/>
    <n v="353"/>
    <n v="46"/>
    <n v="24"/>
    <n v="140"/>
    <m/>
    <m/>
    <n v="0"/>
    <n v="134226"/>
    <n v="30843"/>
    <n v="21381"/>
    <n v="23343.853999999999"/>
    <n v="254450"/>
    <n v="4667.2265991032464"/>
    <n v="62819.012999999999"/>
    <n v="52278.33"/>
    <n v="7730.99"/>
    <n v="592.17200000000003"/>
  </r>
  <r>
    <s v="מעלה אדומים"/>
    <s v="עירייה"/>
    <x v="1"/>
    <n v="16.218938885157826"/>
    <n v="28.08"/>
    <s v="-"/>
    <n v="38046.077475845625"/>
    <n v="18519"/>
    <n v="19527"/>
    <n v="8.3000000000000007"/>
    <n v="8.4"/>
    <n v="8.5"/>
    <n v="9.6"/>
    <n v="15.454975555906008"/>
    <n v="16.054250118277874"/>
    <n v="16.330231824633337"/>
    <n v="5.0999999999999996"/>
    <n v="12.2"/>
    <n v="31"/>
    <n v="4.7"/>
    <n v="-535"/>
    <n v="860"/>
    <n v="60.8"/>
    <n v="22.1"/>
    <n v="140"/>
    <n v="21.1"/>
    <n v="4.3"/>
    <n v="22"/>
    <x v="3"/>
    <x v="3"/>
    <x v="0"/>
    <n v="2.7"/>
    <n v="70.037666121810815"/>
    <n v="34.799999999999997"/>
    <n v="26.2"/>
    <n v="194"/>
    <n v="13.6"/>
    <n v="11.4"/>
    <n v="76"/>
    <m/>
    <m/>
    <n v="0"/>
    <n v="227071"/>
    <n v="126972"/>
    <n v="55267"/>
    <n v="67913"/>
    <n v="122081"/>
    <n v="9175.0325699572368"/>
    <n v="140187.53477"/>
    <n v="64876.290999999997"/>
    <n v="31695.763999999999"/>
    <n v="22999.673999999999"/>
  </r>
  <r>
    <s v="מעלות-תרשיחא"/>
    <s v="עירייה"/>
    <x v="2"/>
    <n v="16.861641305303895"/>
    <n v="22.34"/>
    <n v="22.6"/>
    <n v="22521.138214929822"/>
    <n v="11312"/>
    <n v="11209"/>
    <n v="7"/>
    <n v="7.5"/>
    <n v="7.9"/>
    <n v="6.7"/>
    <n v="13.796012610452465"/>
    <n v="17.850006660450248"/>
    <n v="18.080902268993384"/>
    <n v="5.8"/>
    <n v="15.4"/>
    <n v="26.3"/>
    <n v="6"/>
    <n v="71"/>
    <n v="696"/>
    <n v="8.6"/>
    <n v="7"/>
    <n v="28"/>
    <n v="36.5"/>
    <n v="35.4"/>
    <n v="209"/>
    <x v="2"/>
    <x v="2"/>
    <x v="1"/>
    <n v="4.3"/>
    <n v="60.70730031188878"/>
    <n v="9.1"/>
    <n v="6"/>
    <n v="23"/>
    <n v="9.4"/>
    <n v="8.1999999999999993"/>
    <n v="38"/>
    <m/>
    <m/>
    <n v="0"/>
    <n v="84178"/>
    <n v="52871"/>
    <n v="28503"/>
    <n v="34611"/>
    <n v="89480"/>
    <n v="7706.7152798227626"/>
    <n v="64231"/>
    <n v="37347"/>
    <n v="12258"/>
    <n v="7987"/>
  </r>
  <r>
    <s v="נהרייה"/>
    <s v="עירייה"/>
    <x v="1"/>
    <n v="15.310141122415491"/>
    <n v="24.1"/>
    <s v="-"/>
    <n v="63947.022174626632"/>
    <n v="31045"/>
    <n v="32902"/>
    <n v="6.7"/>
    <n v="7.2"/>
    <n v="7.1"/>
    <n v="6.4"/>
    <n v="11.562700361236649"/>
    <n v="18.157223951084493"/>
    <n v="18.7311367225984"/>
    <n v="5.6"/>
    <n v="18.5"/>
    <n v="24.8"/>
    <n v="7.5"/>
    <n v="2970"/>
    <n v="1721"/>
    <n v="119.2"/>
    <n v="96.2"/>
    <n v="650"/>
    <n v="169.3"/>
    <n v="168.6"/>
    <n v="1050"/>
    <x v="3"/>
    <x v="3"/>
    <x v="9"/>
    <n v="4.3"/>
    <n v="60.801292524416375"/>
    <n v="78.400000000000006"/>
    <n v="76.599999999999994"/>
    <n v="555"/>
    <n v="46.1"/>
    <n v="38.4"/>
    <n v="255"/>
    <m/>
    <m/>
    <n v="63150"/>
    <n v="326539"/>
    <n v="194231"/>
    <n v="116271"/>
    <n v="143913.524"/>
    <n v="185644"/>
    <n v="8989.7383873505823"/>
    <n v="233904.85399999999"/>
    <n v="141022.78400000001"/>
    <n v="63025.161"/>
    <n v="11218.199000000001"/>
  </r>
  <r>
    <s v="נוף הגליל"/>
    <s v="עירייה"/>
    <x v="2"/>
    <n v="19.418141896528063"/>
    <n v="20.11"/>
    <n v="32.299999999999997"/>
    <n v="44184.015392173533"/>
    <n v="21210"/>
    <n v="22974"/>
    <n v="8.1"/>
    <n v="8.1"/>
    <n v="6.6"/>
    <n v="6"/>
    <n v="13.111080934274852"/>
    <n v="18.32563824008691"/>
    <n v="16.680246242983884"/>
    <n v="5.4"/>
    <n v="17.8"/>
    <n v="26.2"/>
    <n v="7.9"/>
    <n v="1572"/>
    <n v="1439"/>
    <n v="117.4"/>
    <n v="103.8"/>
    <n v="589"/>
    <n v="95.6"/>
    <n v="18.2"/>
    <n v="134"/>
    <x v="2"/>
    <x v="2"/>
    <x v="0"/>
    <n v="3.2"/>
    <n v="52.798576617985027"/>
    <m/>
    <m/>
    <m/>
    <m/>
    <m/>
    <m/>
    <m/>
    <m/>
    <n v="0"/>
    <n v="233621"/>
    <n v="136287"/>
    <n v="47601"/>
    <n v="61531"/>
    <n v="122583"/>
    <n v="8058.3667382812955"/>
    <n v="174395"/>
    <n v="67912"/>
    <n v="58382"/>
    <n v="29013"/>
  </r>
  <r>
    <s v="נס ציונה"/>
    <s v="עירייה"/>
    <x v="1"/>
    <n v="12.712366203598268"/>
    <n v="54.57"/>
    <s v="-"/>
    <n v="50340.883918628562"/>
    <n v="24809"/>
    <n v="25532"/>
    <n v="6.1"/>
    <n v="8.6999999999999993"/>
    <n v="10"/>
    <n v="9"/>
    <n v="10.518265429768975"/>
    <n v="16.910669235811763"/>
    <n v="20.676982976102977"/>
    <n v="3.9"/>
    <n v="14.3"/>
    <n v="30.4"/>
    <n v="5.6"/>
    <n v="-284"/>
    <n v="968"/>
    <n v="142.5"/>
    <n v="65.7"/>
    <n v="342"/>
    <n v="52.2"/>
    <n v="23.4"/>
    <n v="90"/>
    <x v="6"/>
    <x v="7"/>
    <x v="2"/>
    <n v="1.6"/>
    <n v="74.702988809941601"/>
    <n v="39.5"/>
    <n v="39.5"/>
    <n v="163"/>
    <n v="130.80000000000001"/>
    <n v="89.4"/>
    <n v="395"/>
    <m/>
    <m/>
    <n v="0"/>
    <n v="286559"/>
    <n v="186871"/>
    <n v="101722"/>
    <n v="108255"/>
    <n v="170759"/>
    <n v="9001.2523564831499"/>
    <n v="210705"/>
    <n v="112448"/>
    <n v="49796"/>
    <n v="34880"/>
  </r>
  <r>
    <s v="נצרת"/>
    <s v="עירייה"/>
    <x v="0"/>
    <n v="13.537562299402447"/>
    <n v="16.600000000000001"/>
    <n v="99.7"/>
    <n v="78006.687378559087"/>
    <n v="38918"/>
    <n v="39088"/>
    <n v="7.7"/>
    <n v="8.1999999999999993"/>
    <n v="8.1999999999999993"/>
    <n v="8.5"/>
    <n v="17.608676144448577"/>
    <n v="18.814978142987169"/>
    <n v="16.885664107067313"/>
    <n v="4.5"/>
    <n v="9.5"/>
    <n v="29"/>
    <n v="3.8"/>
    <n v="-696"/>
    <n v="1509"/>
    <n v="47.1"/>
    <n v="28.2"/>
    <n v="159"/>
    <n v="23.9"/>
    <n v="14.8"/>
    <n v="63"/>
    <x v="1"/>
    <x v="1"/>
    <x v="0"/>
    <n v="0.6"/>
    <n v="48.285421462054131"/>
    <n v="48.2"/>
    <n v="37.5"/>
    <n v="161"/>
    <n v="63.7"/>
    <n v="40.799999999999997"/>
    <n v="212"/>
    <m/>
    <m/>
    <n v="0"/>
    <n v="158141"/>
    <n v="95659"/>
    <n v="61007"/>
    <n v="134820.92499999999"/>
    <n v="274907"/>
    <n v="5853.5237855197638"/>
    <n v="135795.402"/>
    <n v="86602.925000000003"/>
    <n v="26892.626"/>
    <n v="6917.9229999999998"/>
  </r>
  <r>
    <s v="נשר"/>
    <s v="עירייה"/>
    <x v="1"/>
    <n v="16.549789621318372"/>
    <n v="31.55"/>
    <s v="-"/>
    <n v="23760.611315266106"/>
    <n v="11471"/>
    <n v="12289"/>
    <n v="6.1"/>
    <n v="6.1"/>
    <n v="6.1"/>
    <n v="5.7"/>
    <n v="12.895080173393374"/>
    <n v="19.34682883717015"/>
    <n v="17.617103657253484"/>
    <n v="6.3"/>
    <n v="19.899999999999999"/>
    <n v="21.7"/>
    <n v="8.4"/>
    <n v="-23"/>
    <n v="493"/>
    <n v="46.5"/>
    <n v="43.4"/>
    <n v="282"/>
    <n v="3.1"/>
    <n v="1"/>
    <n v="1"/>
    <x v="5"/>
    <x v="5"/>
    <x v="0"/>
    <n v="4.0999999999999996"/>
    <n v="62.16656485440847"/>
    <n v="31.3"/>
    <n v="31.1"/>
    <n v="292"/>
    <n v="2.9"/>
    <n v="1.1000000000000001"/>
    <s v="-"/>
    <m/>
    <m/>
    <n v="0"/>
    <n v="163720"/>
    <n v="98634"/>
    <n v="33643"/>
    <n v="48032.518900000003"/>
    <n v="66871"/>
    <n v="9600.8893446875154"/>
    <n v="113952.55560000001"/>
    <n v="41824.275600000001"/>
    <n v="34624.001499999998"/>
    <n v="9115.2101000000002"/>
  </r>
  <r>
    <s v="נתיבות"/>
    <s v="עירייה"/>
    <x v="1"/>
    <n v="16.304539833951598"/>
    <n v="17.66"/>
    <s v="-"/>
    <n v="46373.548355075305"/>
    <n v="23193"/>
    <n v="23181"/>
    <n v="14.8"/>
    <n v="12.5"/>
    <n v="10"/>
    <n v="7.3"/>
    <n v="16.375555268038124"/>
    <n v="18.969681286928019"/>
    <n v="10.82071850605943"/>
    <n v="2.9"/>
    <n v="6.3"/>
    <n v="41.6"/>
    <n v="2.2999999999999998"/>
    <n v="3132"/>
    <n v="1448"/>
    <n v="117.6"/>
    <n v="92.7"/>
    <n v="549"/>
    <n v="115.9"/>
    <n v="101.1"/>
    <n v="627"/>
    <x v="1"/>
    <x v="1"/>
    <x v="9"/>
    <n v="3.6"/>
    <n v="75.548533693105156"/>
    <n v="83.3"/>
    <n v="68.099999999999994"/>
    <n v="473"/>
    <n v="19.2"/>
    <n v="7.6"/>
    <n v="39"/>
    <m/>
    <m/>
    <n v="0"/>
    <n v="129069"/>
    <n v="78274"/>
    <n v="42486"/>
    <n v="73342"/>
    <n v="173314"/>
    <n v="6534.7598091840664"/>
    <n v="93703"/>
    <n v="55216"/>
    <n v="19067"/>
    <n v="10884"/>
  </r>
  <r>
    <s v="נתניה"/>
    <s v="עירייה"/>
    <x v="1"/>
    <n v="17.649046440674599"/>
    <n v="23.98"/>
    <s v="-"/>
    <n v="233103.6899102907"/>
    <n v="113570"/>
    <n v="119534"/>
    <n v="7.7"/>
    <n v="8.1"/>
    <n v="7.6"/>
    <n v="6.5"/>
    <n v="11.657457615484933"/>
    <n v="18.487885235774591"/>
    <n v="16.30860045301668"/>
    <n v="4.9000000000000004"/>
    <n v="18.8"/>
    <n v="27.3"/>
    <n v="8.5"/>
    <n v="7428"/>
    <n v="5605"/>
    <n v="670.4"/>
    <n v="569.5"/>
    <n v="2506"/>
    <n v="244.7"/>
    <n v="183.1"/>
    <n v="876"/>
    <x v="3"/>
    <x v="3"/>
    <x v="5"/>
    <n v="3.8"/>
    <n v="58.286036266775945"/>
    <n v="433.2"/>
    <n v="307.5"/>
    <n v="1335"/>
    <n v="344.3"/>
    <n v="297.2"/>
    <n v="1498"/>
    <m/>
    <m/>
    <n v="0"/>
    <n v="1212437"/>
    <n v="821790"/>
    <n v="456494"/>
    <n v="635003"/>
    <n v="658261"/>
    <n v="8039.2807197569382"/>
    <n v="964422"/>
    <n v="566707"/>
    <n v="230014"/>
    <n v="78541"/>
  </r>
  <r>
    <s v="סח'נין"/>
    <s v="עירייה"/>
    <x v="0"/>
    <n v="12.208944191203647"/>
    <n v="18.850000000000001"/>
    <n v="99.9"/>
    <n v="33187.568885564433"/>
    <n v="17017"/>
    <n v="16170"/>
    <n v="8.6999999999999993"/>
    <n v="9.6999999999999993"/>
    <n v="9.5"/>
    <n v="8.9"/>
    <n v="17.036278172833555"/>
    <n v="20.570688200554418"/>
    <n v="16.593346992888996"/>
    <n v="3.3"/>
    <n v="5.7"/>
    <n v="33.1"/>
    <n v="2.1"/>
    <n v="39"/>
    <n v="829"/>
    <n v="43.5"/>
    <n v="42.6"/>
    <n v="234"/>
    <n v="18.899999999999999"/>
    <n v="16.399999999999999"/>
    <n v="88"/>
    <x v="4"/>
    <x v="4"/>
    <x v="9"/>
    <n v="1.7"/>
    <n v="68.414702460464511"/>
    <n v="70.2"/>
    <n v="58"/>
    <n v="304"/>
    <n v="60.8"/>
    <n v="55.7"/>
    <n v="266"/>
    <m/>
    <m/>
    <n v="0"/>
    <n v="69780"/>
    <n v="35815"/>
    <n v="24577"/>
    <n v="37928.084300000002"/>
    <n v="175521"/>
    <n v="7385.3858004830308"/>
    <n v="66228.714999999997"/>
    <n v="50413.084300000002"/>
    <n v="10179.9794"/>
    <n v="3161.89"/>
  </r>
  <r>
    <s v="עכו"/>
    <s v="עירייה"/>
    <x v="2"/>
    <n v="16.520102914634617"/>
    <n v="15.69"/>
    <n v="32.4"/>
    <n v="51419.564838377548"/>
    <n v="25429"/>
    <n v="25990"/>
    <n v="7.5"/>
    <n v="7.8"/>
    <n v="7.5"/>
    <n v="7.4"/>
    <n v="13.234150136133799"/>
    <n v="20.258654220147804"/>
    <n v="16.127965772073125"/>
    <n v="5.6"/>
    <n v="14.7"/>
    <n v="27.1"/>
    <n v="5.5"/>
    <n v="1501"/>
    <n v="1625"/>
    <n v="24.3"/>
    <n v="13.6"/>
    <n v="89"/>
    <n v="262.7"/>
    <n v="254.5"/>
    <n v="1492"/>
    <x v="4"/>
    <x v="4"/>
    <x v="9"/>
    <n v="7.2"/>
    <n v="58.887425177378731"/>
    <n v="80.5"/>
    <n v="67.599999999999994"/>
    <n v="296"/>
    <n v="44.2"/>
    <n v="29.9"/>
    <n v="138"/>
    <m/>
    <m/>
    <n v="0"/>
    <n v="262881"/>
    <n v="149499"/>
    <n v="65867"/>
    <n v="135978"/>
    <n v="192933"/>
    <n v="8865.5748338764806"/>
    <n v="180997.69"/>
    <n v="87233"/>
    <n v="46941"/>
    <n v="19458"/>
  </r>
  <r>
    <s v="עפולה"/>
    <s v="עירייה"/>
    <x v="1"/>
    <n v="14.85921889191644"/>
    <n v="19.96"/>
    <s v="-"/>
    <n v="61518.602294970689"/>
    <n v="29964"/>
    <n v="31555"/>
    <n v="10.9"/>
    <n v="8.9"/>
    <n v="7.1"/>
    <n v="6.2"/>
    <n v="13.800614444318015"/>
    <n v="18.929111331458571"/>
    <n v="14.301272777515889"/>
    <n v="4.9000000000000004"/>
    <n v="15"/>
    <n v="30.7"/>
    <n v="5.6"/>
    <n v="1708"/>
    <n v="2031"/>
    <n v="138.19999999999999"/>
    <n v="90.5"/>
    <n v="517"/>
    <n v="73"/>
    <n v="55.6"/>
    <n v="357"/>
    <x v="2"/>
    <x v="2"/>
    <x v="0"/>
    <n v="1.8"/>
    <n v="63.270111183780251"/>
    <n v="69.2"/>
    <n v="63.7"/>
    <n v="372"/>
    <n v="28.7"/>
    <n v="23.1"/>
    <n v="124"/>
    <m/>
    <m/>
    <n v="0"/>
    <n v="314324"/>
    <n v="192751"/>
    <n v="78186"/>
    <n v="109820"/>
    <n v="163722"/>
    <n v="7765.2284378875393"/>
    <n v="235772"/>
    <n v="104305"/>
    <n v="85372"/>
    <n v="15673"/>
  </r>
  <r>
    <s v="עראבה"/>
    <s v="עירייה"/>
    <x v="0"/>
    <n v="11.424047996000333"/>
    <n v="19.010000000000002"/>
    <n v="99.9"/>
    <n v="27115.30766284094"/>
    <n v="13664"/>
    <n v="13452"/>
    <n v="9.4"/>
    <n v="9.8000000000000007"/>
    <n v="10.1"/>
    <n v="10.4"/>
    <n v="18.428913885303338"/>
    <n v="18.849345380785543"/>
    <n v="14.70035035957957"/>
    <n v="3"/>
    <n v="5.3"/>
    <n v="35.5"/>
    <n v="1.8"/>
    <n v="53"/>
    <n v="575"/>
    <n v="24.2"/>
    <n v="23.9"/>
    <n v="136"/>
    <n v="12"/>
    <n v="12"/>
    <n v="50"/>
    <x v="1"/>
    <x v="1"/>
    <x v="1"/>
    <n v="0"/>
    <n v="56.869746745042029"/>
    <n v="23.3"/>
    <n v="20.8"/>
    <n v="97"/>
    <n v="26.7"/>
    <n v="21.2"/>
    <n v="98"/>
    <m/>
    <m/>
    <n v="0"/>
    <n v="50658"/>
    <n v="28690"/>
    <n v="20073"/>
    <n v="34107"/>
    <n v="152127"/>
    <n v="7478.4694505935067"/>
    <n v="41865.916299999997"/>
    <n v="31718"/>
    <n v="6171.2915999999996"/>
    <n v="578.19000000000005"/>
  </r>
  <r>
    <s v="ערד"/>
    <s v="עירייה"/>
    <x v="1"/>
    <n v="15.952134986225897"/>
    <n v="13.77"/>
    <s v="-"/>
    <n v="28169.54990259503"/>
    <n v="13913"/>
    <n v="14257"/>
    <n v="12.6"/>
    <n v="10.9"/>
    <n v="7.8"/>
    <n v="6.7"/>
    <n v="14.124955626553071"/>
    <n v="15.260915867944622"/>
    <n v="13.425630102946398"/>
    <n v="4.4000000000000004"/>
    <n v="14.7"/>
    <n v="35.4"/>
    <n v="6.7"/>
    <n v="45"/>
    <n v="759"/>
    <n v="2.4"/>
    <n v="0.5"/>
    <s v="-"/>
    <n v="25.6"/>
    <n v="23.8"/>
    <n v="157"/>
    <x v="1"/>
    <x v="1"/>
    <x v="8"/>
    <n v="0.6"/>
    <n v="57.049572335142095"/>
    <n v="19.5"/>
    <n v="16.899999999999999"/>
    <n v="104"/>
    <n v="19.5"/>
    <n v="4.0999999999999996"/>
    <n v="11"/>
    <m/>
    <m/>
    <n v="0"/>
    <n v="122447"/>
    <n v="63000"/>
    <n v="35300"/>
    <n v="40132.97"/>
    <n v="102276"/>
    <n v="7971.195875561878"/>
    <n v="74333.259999999995"/>
    <n v="45930.97"/>
    <n v="12808.49"/>
    <n v="5386.69"/>
  </r>
  <r>
    <s v="פתח תקווה"/>
    <s v="עירייה"/>
    <x v="1"/>
    <n v="16.722020545300069"/>
    <n v="35.03"/>
    <s v="-"/>
    <n v="255387.31137445164"/>
    <n v="125035"/>
    <n v="130352"/>
    <n v="7.7"/>
    <n v="8.6999999999999993"/>
    <n v="8.3000000000000007"/>
    <n v="7.2"/>
    <n v="11.127817782424321"/>
    <n v="18.342750414077457"/>
    <n v="17.478963298836668"/>
    <n v="4.2"/>
    <n v="16.899999999999999"/>
    <n v="29.2"/>
    <n v="7.6"/>
    <n v="823"/>
    <n v="5307"/>
    <n v="483.7"/>
    <n v="446.3"/>
    <n v="2086"/>
    <n v="428.1"/>
    <n v="185.9"/>
    <n v="897"/>
    <x v="5"/>
    <x v="5"/>
    <x v="7"/>
    <n v="6.8"/>
    <n v="67.80476708035286"/>
    <n v="395.9"/>
    <n v="329.9"/>
    <n v="1689"/>
    <n v="405.1"/>
    <n v="355.3"/>
    <n v="2034"/>
    <m/>
    <m/>
    <n v="0"/>
    <n v="1592704"/>
    <n v="1170342"/>
    <n v="482650"/>
    <n v="530750"/>
    <n v="656111"/>
    <n v="8791.000570534201"/>
    <n v="1377289"/>
    <n v="587756"/>
    <n v="468751"/>
    <n v="171971"/>
  </r>
  <r>
    <s v="צפת"/>
    <s v="עירייה"/>
    <x v="1"/>
    <n v="11.670735960934774"/>
    <n v="17.21"/>
    <s v="-"/>
    <n v="38029.460899533537"/>
    <n v="19469"/>
    <n v="18560"/>
    <n v="13.4"/>
    <n v="11.6"/>
    <n v="10.7"/>
    <n v="9.1999999999999993"/>
    <n v="15.861579321044466"/>
    <n v="14.646716979147492"/>
    <n v="11.094164979357858"/>
    <n v="3.8"/>
    <n v="9.6999999999999993"/>
    <n v="41"/>
    <n v="3.8"/>
    <n v="-196"/>
    <n v="885"/>
    <n v="61.6"/>
    <n v="51.6"/>
    <n v="395"/>
    <n v="10"/>
    <n v="8.5"/>
    <n v="30"/>
    <x v="0"/>
    <x v="0"/>
    <x v="8"/>
    <n v="0.4"/>
    <n v="60.253437137651154"/>
    <n v="19.399999999999999"/>
    <n v="15.5"/>
    <n v="111"/>
    <n v="16.7"/>
    <n v="16.2"/>
    <n v="86"/>
    <m/>
    <m/>
    <n v="0"/>
    <n v="119463"/>
    <n v="58793"/>
    <n v="28326"/>
    <n v="49121.85"/>
    <n v="183277"/>
    <n v="8484.6062070776752"/>
    <n v="90228.34"/>
    <n v="44517.85"/>
    <n v="32208.720000000001"/>
    <n v="2873.56"/>
  </r>
  <r>
    <s v="קלנסווה"/>
    <s v="עירייה"/>
    <x v="0"/>
    <n v="11.612526745769305"/>
    <n v="13.58"/>
    <n v="99.8"/>
    <n v="24205.133125150533"/>
    <n v="12379"/>
    <n v="11826"/>
    <n v="10.7"/>
    <n v="10.3"/>
    <n v="10.3"/>
    <n v="10.1"/>
    <n v="18.541623631481098"/>
    <n v="18.14501136128899"/>
    <n v="14.005370791158853"/>
    <n v="3.2"/>
    <n v="4.8"/>
    <n v="37.200000000000003"/>
    <n v="1.6"/>
    <n v="-70"/>
    <n v="388"/>
    <n v="12.7"/>
    <n v="12.7"/>
    <n v="58"/>
    <n v="11.9"/>
    <n v="10.7"/>
    <n v="48"/>
    <x v="1"/>
    <x v="1"/>
    <x v="3"/>
    <n v="0.1"/>
    <n v="54.273670557717246"/>
    <n v="17.7"/>
    <n v="16.600000000000001"/>
    <n v="81"/>
    <n v="23.1"/>
    <n v="20.5"/>
    <n v="109"/>
    <m/>
    <m/>
    <n v="0"/>
    <n v="40784"/>
    <n v="15986"/>
    <n v="12464"/>
    <n v="76010.213000000003"/>
    <n v="121341"/>
    <n v="7126.7114751275385"/>
    <n v="26628.46"/>
    <n v="22443.213"/>
    <n v="2478.4679999999998"/>
    <n v="113.791"/>
  </r>
  <r>
    <s v="קריית אונו"/>
    <s v="עירייה"/>
    <x v="1"/>
    <n v="13.455364686003943"/>
    <n v="59.27"/>
    <s v="-"/>
    <n v="43240.724316685883"/>
    <n v="20953"/>
    <n v="22288"/>
    <n v="6.7"/>
    <n v="8.6"/>
    <n v="9.4"/>
    <n v="7.6"/>
    <n v="9.6135612034874303"/>
    <n v="19.416757244282046"/>
    <n v="19.43294558405217"/>
    <n v="4"/>
    <n v="15.3"/>
    <n v="29.5"/>
    <n v="7.2"/>
    <n v="1020"/>
    <n v="783"/>
    <n v="225.3"/>
    <n v="154.4"/>
    <n v="674"/>
    <n v="101.4"/>
    <n v="64.400000000000006"/>
    <n v="281"/>
    <x v="7"/>
    <x v="8"/>
    <x v="7"/>
    <n v="0"/>
    <n v="73.268408703757274"/>
    <n v="79.900000000000006"/>
    <n v="53.9"/>
    <n v="328"/>
    <n v="96.5"/>
    <n v="91.9"/>
    <n v="416"/>
    <m/>
    <m/>
    <n v="0"/>
    <n v="235335"/>
    <n v="142730"/>
    <n v="100306"/>
    <n v="113640"/>
    <n v="136335"/>
    <n v="8563.177556605262"/>
    <n v="166577"/>
    <n v="115601.99"/>
    <n v="39949.86"/>
    <n v="605.5"/>
  </r>
  <r>
    <s v="קריית אתא"/>
    <s v="עירייה"/>
    <x v="1"/>
    <n v="16.260814959531121"/>
    <n v="23.42"/>
    <s v="-"/>
    <n v="61142.400162137645"/>
    <n v="29926"/>
    <n v="31216"/>
    <n v="7.7"/>
    <n v="8"/>
    <n v="7"/>
    <n v="6.3"/>
    <n v="12.312322135357038"/>
    <n v="19.186483922671812"/>
    <n v="16.532007458048479"/>
    <n v="5.5"/>
    <n v="17.5"/>
    <n v="26.4"/>
    <n v="7"/>
    <n v="676"/>
    <n v="1478"/>
    <n v="50"/>
    <n v="49.6"/>
    <n v="374"/>
    <n v="65"/>
    <n v="60.8"/>
    <n v="352"/>
    <x v="3"/>
    <x v="3"/>
    <x v="0"/>
    <n v="6.1"/>
    <n v="64.970762642068848"/>
    <n v="97.3"/>
    <n v="94.2"/>
    <n v="538"/>
    <n v="47"/>
    <n v="38.299999999999997"/>
    <n v="231"/>
    <m/>
    <m/>
    <n v="0"/>
    <n v="311480"/>
    <n v="213967"/>
    <n v="106376"/>
    <n v="124309.874"/>
    <n v="213384"/>
    <n v="8580.265063340923"/>
    <n v="232831.514"/>
    <n v="117234.874"/>
    <n v="52554.256999999998"/>
    <n v="0"/>
  </r>
  <r>
    <s v="קריית ביאליק"/>
    <s v="עירייה"/>
    <x v="1"/>
    <n v="14.800815636345552"/>
    <n v="29.59"/>
    <s v="-"/>
    <n v="44619.630911073495"/>
    <n v="21454"/>
    <n v="23166"/>
    <n v="7.3"/>
    <n v="7.7"/>
    <n v="6.7"/>
    <n v="5.4"/>
    <n v="10.750784401613627"/>
    <n v="20.688032272523532"/>
    <n v="16.290900941281937"/>
    <n v="4.9000000000000004"/>
    <n v="20.2"/>
    <n v="25.1"/>
    <n v="8.6999999999999993"/>
    <n v="1122"/>
    <n v="1127"/>
    <n v="18.2"/>
    <n v="15.2"/>
    <n v="85"/>
    <n v="38.5"/>
    <n v="24.7"/>
    <n v="152"/>
    <x v="3"/>
    <x v="3"/>
    <x v="3"/>
    <n v="5.0999999999999996"/>
    <n v="62.646570721223171"/>
    <n v="21.7"/>
    <n v="19.2"/>
    <n v="129"/>
    <n v="19.899999999999999"/>
    <n v="17.2"/>
    <n v="129"/>
    <m/>
    <m/>
    <n v="0"/>
    <n v="289617"/>
    <n v="157464"/>
    <n v="86311"/>
    <n v="92865.22"/>
    <n v="105273"/>
    <n v="8840.7723673505716"/>
    <n v="184456.58900000001"/>
    <n v="110295.22"/>
    <n v="29480.73"/>
    <n v="6189.84"/>
  </r>
  <r>
    <s v="קריית גת"/>
    <s v="עירייה"/>
    <x v="1"/>
    <n v="16.060507364383163"/>
    <n v="17.28"/>
    <s v="-"/>
    <n v="64437.129898127292"/>
    <n v="31909"/>
    <n v="32528"/>
    <n v="12.3"/>
    <n v="10.6"/>
    <n v="8.1999999999999993"/>
    <n v="6.5"/>
    <n v="13.917469776681099"/>
    <n v="19.111690488384003"/>
    <n v="12.368670173968372"/>
    <n v="4.7"/>
    <n v="12.4"/>
    <n v="35"/>
    <n v="4.8"/>
    <n v="2752"/>
    <n v="2144"/>
    <n v="487.2"/>
    <n v="235.5"/>
    <n v="1410"/>
    <n v="321.3"/>
    <n v="240.5"/>
    <n v="1406"/>
    <x v="4"/>
    <x v="4"/>
    <x v="0"/>
    <n v="12.9"/>
    <n v="68.513704062747863"/>
    <n v="28.3"/>
    <n v="18.600000000000001"/>
    <n v="183"/>
    <n v="78.2"/>
    <n v="70.900000000000006"/>
    <n v="690"/>
    <m/>
    <m/>
    <n v="21120"/>
    <n v="449230"/>
    <n v="292220"/>
    <n v="72211"/>
    <n v="96513.11"/>
    <n v="205423"/>
    <n v="10471.338513474198"/>
    <n v="300890.32605999999"/>
    <n v="96515.11"/>
    <n v="47221.826000000001"/>
    <n v="95485.25"/>
  </r>
  <r>
    <s v="קריית ים"/>
    <s v="עירייה"/>
    <x v="1"/>
    <n v="19.095191262487706"/>
    <n v="14.98"/>
    <s v="-"/>
    <n v="41094.880715579253"/>
    <n v="19604"/>
    <n v="21491"/>
    <n v="5.4"/>
    <n v="6.1"/>
    <n v="6"/>
    <n v="5.3"/>
    <n v="10.434359411120573"/>
    <n v="18.922009976882833"/>
    <n v="17.469278501034189"/>
    <n v="6.3"/>
    <n v="24"/>
    <n v="20.6"/>
    <n v="10.4"/>
    <n v="1851"/>
    <n v="980"/>
    <n v="70.8"/>
    <n v="49.8"/>
    <n v="337"/>
    <n v="148.30000000000001"/>
    <n v="146.80000000000001"/>
    <n v="864"/>
    <x v="2"/>
    <x v="2"/>
    <x v="3"/>
    <n v="0.4"/>
    <n v="55.630667318238579"/>
    <n v="10.5"/>
    <n v="10.5"/>
    <n v="83"/>
    <n v="20.2"/>
    <n v="17.5"/>
    <n v="137"/>
    <m/>
    <m/>
    <n v="0"/>
    <n v="173884"/>
    <n v="92408"/>
    <n v="54935"/>
    <n v="78276.820000000007"/>
    <n v="179298"/>
    <n v="8429.1034301185082"/>
    <n v="124306.052"/>
    <n v="75996.820000000007"/>
    <n v="21918.86"/>
    <n v="23531.23"/>
  </r>
  <r>
    <s v="קריית מוצקין"/>
    <s v="עירייה"/>
    <x v="1"/>
    <n v="15.438317426652528"/>
    <n v="32.58"/>
    <s v="-"/>
    <n v="48001.190933072838"/>
    <n v="22707"/>
    <n v="25295"/>
    <n v="7.2"/>
    <n v="7.3"/>
    <n v="6.3"/>
    <n v="5.5"/>
    <n v="10.38103372846399"/>
    <n v="20.370408949813545"/>
    <n v="16.322576612987231"/>
    <n v="5.0999999999999996"/>
    <n v="21.5"/>
    <n v="24.1"/>
    <n v="9.4"/>
    <n v="1260"/>
    <n v="1178"/>
    <n v="51.4"/>
    <n v="42.6"/>
    <n v="231"/>
    <n v="59.5"/>
    <n v="49.6"/>
    <n v="333"/>
    <x v="5"/>
    <x v="5"/>
    <x v="3"/>
    <n v="0.8"/>
    <n v="63.347167968749993"/>
    <n v="57.5"/>
    <n v="56.8"/>
    <n v="390"/>
    <n v="43.1"/>
    <n v="37.4"/>
    <n v="270"/>
    <m/>
    <m/>
    <n v="0"/>
    <n v="188411"/>
    <n v="115508"/>
    <n v="93790"/>
    <n v="108750.16"/>
    <n v="103851"/>
    <n v="6081.1407868399247"/>
    <n v="145655.53"/>
    <n v="121201.16"/>
    <n v="18025.150000000001"/>
    <n v="440.98"/>
  </r>
  <r>
    <s v="קריית מלאכי"/>
    <s v="עירייה"/>
    <x v="1"/>
    <n v="14.270923209663502"/>
    <n v="14.3"/>
    <s v="-"/>
    <n v="25704.561487892839"/>
    <n v="13050"/>
    <n v="12655"/>
    <n v="11.7"/>
    <n v="10.9"/>
    <n v="9"/>
    <n v="6.3"/>
    <n v="15.518381637813656"/>
    <n v="19.649873565454193"/>
    <n v="11.752577319587628"/>
    <n v="4.5999999999999996"/>
    <n v="10.6"/>
    <n v="35.5"/>
    <n v="3.7"/>
    <n v="134"/>
    <n v="895"/>
    <n v="149.1"/>
    <n v="86.3"/>
    <n v="637"/>
    <n v="31"/>
    <n v="12.7"/>
    <n v="91"/>
    <x v="1"/>
    <x v="4"/>
    <x v="3"/>
    <n v="12"/>
    <n v="70.50604019373155"/>
    <n v="15.7"/>
    <n v="12.9"/>
    <n v="68"/>
    <n v="50.1"/>
    <n v="12.6"/>
    <n v="76"/>
    <m/>
    <m/>
    <n v="0"/>
    <n v="117648"/>
    <n v="68716"/>
    <n v="24202"/>
    <n v="32028"/>
    <n v="138210"/>
    <n v="9950.7241203268532"/>
    <n v="84074"/>
    <n v="36688"/>
    <n v="21177"/>
    <n v="12358"/>
  </r>
  <r>
    <s v="קריית שמונה"/>
    <s v="עירייה"/>
    <x v="1"/>
    <n v="13.729325982571581"/>
    <n v="18.38"/>
    <s v="-"/>
    <n v="22492.474876377717"/>
    <n v="11192"/>
    <n v="11301"/>
    <n v="6.9"/>
    <n v="6.6"/>
    <n v="7"/>
    <n v="6.8"/>
    <n v="16.663702649831048"/>
    <n v="17.592921927796549"/>
    <n v="16.86821981148853"/>
    <n v="6.4"/>
    <n v="15.1"/>
    <n v="24.6"/>
    <n v="5.5"/>
    <n v="-33"/>
    <n v="904"/>
    <n v="29.2"/>
    <n v="18.2"/>
    <n v="120"/>
    <n v="45.5"/>
    <n v="26.3"/>
    <n v="196"/>
    <x v="2"/>
    <x v="2"/>
    <x v="4"/>
    <n v="3.9"/>
    <n v="61.107523409751373"/>
    <n v="19.2"/>
    <n v="2.9"/>
    <n v="14"/>
    <n v="9.6999999999999993"/>
    <n v="3.1"/>
    <n v="13"/>
    <m/>
    <m/>
    <n v="0"/>
    <n v="98396"/>
    <n v="61961"/>
    <n v="28961"/>
    <n v="38492"/>
    <n v="106592"/>
    <n v="9305.1120941701247"/>
    <n v="78375.263999999996"/>
    <n v="43257"/>
    <n v="17807.464"/>
    <n v="7380.6"/>
  </r>
  <r>
    <s v="ראש העין"/>
    <s v="עירייה"/>
    <x v="1"/>
    <n v="15.666063189861589"/>
    <n v="38.21"/>
    <s v="-"/>
    <n v="73678.330234777328"/>
    <n v="36869"/>
    <n v="36809"/>
    <n v="11.6"/>
    <n v="10.9"/>
    <n v="7.6"/>
    <n v="5.8"/>
    <n v="11.73213170824398"/>
    <n v="23.342110263579357"/>
    <n v="15.303075544938787"/>
    <n v="4.5999999999999996"/>
    <n v="9.1"/>
    <n v="33.6"/>
    <n v="3"/>
    <n v="840"/>
    <n v="1970"/>
    <n v="180.4"/>
    <n v="172.5"/>
    <n v="928"/>
    <n v="44.8"/>
    <n v="20.9"/>
    <n v="107"/>
    <x v="5"/>
    <x v="5"/>
    <x v="2"/>
    <n v="2.6"/>
    <n v="77.577927891267194"/>
    <n v="208.3"/>
    <n v="201"/>
    <n v="1076"/>
    <n v="12.2"/>
    <n v="11.7"/>
    <n v="32"/>
    <m/>
    <m/>
    <n v="0"/>
    <n v="371827"/>
    <n v="266429"/>
    <n v="151098"/>
    <n v="169799"/>
    <n v="200324"/>
    <n v="7580.3563710022227"/>
    <n v="291932"/>
    <n v="169644"/>
    <n v="78531"/>
    <n v="22363"/>
  </r>
  <r>
    <s v="ראשון לציון"/>
    <s v="עירייה"/>
    <x v="1"/>
    <n v="17.287495765241097"/>
    <n v="29.61"/>
    <s v="-"/>
    <n v="260453.25699794033"/>
    <n v="127624"/>
    <n v="132829"/>
    <n v="6.7"/>
    <n v="6.8"/>
    <n v="6.4"/>
    <n v="6.3"/>
    <n v="12.662553320560715"/>
    <n v="18.675922335315775"/>
    <n v="18.025133133425225"/>
    <n v="5.4"/>
    <n v="18.899999999999999"/>
    <n v="23.7"/>
    <n v="7.8"/>
    <n v="1770"/>
    <n v="5896"/>
    <n v="614.9"/>
    <n v="368.5"/>
    <n v="2344"/>
    <n v="442.2"/>
    <n v="322.3"/>
    <n v="1819"/>
    <x v="5"/>
    <x v="5"/>
    <x v="7"/>
    <n v="2.7"/>
    <n v="66.197927730180083"/>
    <n v="493.9"/>
    <n v="226"/>
    <n v="1241"/>
    <n v="294.39999999999998"/>
    <n v="276.5"/>
    <n v="1428"/>
    <m/>
    <m/>
    <n v="0"/>
    <n v="1557898"/>
    <n v="1141878"/>
    <n v="483815"/>
    <n v="575000"/>
    <n v="734496"/>
    <n v="8796.5841794718581"/>
    <n v="1195426"/>
    <n v="561337"/>
    <n v="404814"/>
    <n v="64659"/>
  </r>
  <r>
    <s v="רהט"/>
    <s v="עירייה"/>
    <x v="0"/>
    <n v="11.642420409023826"/>
    <n v="8.86"/>
    <n v="99.7"/>
    <n v="79063.763256603517"/>
    <n v="39629"/>
    <n v="39434"/>
    <n v="16.399999999999999"/>
    <n v="13.9"/>
    <n v="11.9"/>
    <n v="11"/>
    <n v="19.383031468177677"/>
    <n v="15.163664879085298"/>
    <n v="8.6448952747141554"/>
    <n v="1.3"/>
    <n v="2.2999999999999998"/>
    <n v="48.7"/>
    <n v="0.8"/>
    <n v="195"/>
    <n v="1391"/>
    <n v="76.400000000000006"/>
    <n v="67.599999999999994"/>
    <n v="296"/>
    <n v="68.2"/>
    <n v="59.4"/>
    <n v="242"/>
    <x v="0"/>
    <x v="6"/>
    <x v="9"/>
    <n v="0.7"/>
    <n v="60.608668439993743"/>
    <n v="74.7"/>
    <n v="67.5"/>
    <n v="352"/>
    <n v="44.3"/>
    <n v="41"/>
    <n v="219"/>
    <m/>
    <m/>
    <n v="0"/>
    <n v="82118"/>
    <n v="35149"/>
    <n v="16535"/>
    <n v="50754.599000000002"/>
    <n v="381886"/>
    <n v="5872.4753398481953"/>
    <n v="74155.72"/>
    <n v="51890.599000000002"/>
    <n v="10838.954"/>
    <n v="5167.2330000000002"/>
  </r>
  <r>
    <s v="רחובות"/>
    <s v="עירייה"/>
    <x v="1"/>
    <n v="13.764472882388787"/>
    <n v="42.35"/>
    <s v="-"/>
    <n v="150748.37528089684"/>
    <n v="73696"/>
    <n v="77053"/>
    <n v="8.8000000000000007"/>
    <n v="9.6"/>
    <n v="8.6999999999999993"/>
    <n v="6.6"/>
    <n v="10.75569825138642"/>
    <n v="19.793960782232599"/>
    <n v="15.74150237482421"/>
    <n v="4"/>
    <n v="16.100000000000001"/>
    <n v="31.3"/>
    <n v="7.2"/>
    <n v="1311"/>
    <n v="3009"/>
    <n v="137.1"/>
    <n v="109.2"/>
    <n v="525"/>
    <n v="190"/>
    <n v="165.8"/>
    <n v="847"/>
    <x v="5"/>
    <x v="5"/>
    <x v="2"/>
    <n v="2.1"/>
    <n v="68.868847310091084"/>
    <n v="225.7"/>
    <n v="179.7"/>
    <n v="978"/>
    <n v="186.6"/>
    <n v="170.9"/>
    <n v="1123"/>
    <m/>
    <m/>
    <n v="0"/>
    <n v="786160"/>
    <n v="524322"/>
    <n v="280685"/>
    <n v="298916.40999999997"/>
    <n v="433232"/>
    <n v="8085.5465123839349"/>
    <n v="638628"/>
    <n v="332059"/>
    <n v="206098"/>
    <n v="53269"/>
  </r>
  <r>
    <s v="רמלה"/>
    <s v="עירייה"/>
    <x v="2"/>
    <n v="15.506766086716375"/>
    <n v="11.09"/>
    <n v="24.8"/>
    <n v="79132.058296562478"/>
    <n v="40195"/>
    <n v="38937"/>
    <n v="9.1"/>
    <n v="9.1"/>
    <n v="8"/>
    <n v="6.9"/>
    <n v="13.971591770712227"/>
    <n v="19.716423191629175"/>
    <n v="15.486781580144568"/>
    <n v="4.5999999999999996"/>
    <n v="13.1"/>
    <n v="30.4"/>
    <n v="5.0999999999999996"/>
    <n v="110"/>
    <n v="1614"/>
    <n v="23.9"/>
    <n v="9"/>
    <n v="25"/>
    <n v="208.9"/>
    <n v="143.4"/>
    <n v="698"/>
    <x v="4"/>
    <x v="2"/>
    <x v="2"/>
    <n v="8.9"/>
    <n v="63.829008591394668"/>
    <n v="52.2"/>
    <n v="41.9"/>
    <n v="356"/>
    <n v="136.1"/>
    <n v="130.5"/>
    <n v="1154"/>
    <m/>
    <m/>
    <n v="0"/>
    <n v="381173"/>
    <n v="237473"/>
    <n v="85104"/>
    <n v="104262"/>
    <n v="280349"/>
    <n v="8364.5239900041015"/>
    <n v="277166"/>
    <n v="107105"/>
    <n v="91685"/>
    <n v="49202"/>
  </r>
  <r>
    <s v="רמת גן"/>
    <s v="עירייה"/>
    <x v="1"/>
    <n v="16.920340235759831"/>
    <n v="46.39"/>
    <s v="-"/>
    <n v="172486.08347094219"/>
    <n v="83204"/>
    <n v="89283"/>
    <n v="6.8"/>
    <n v="6.3"/>
    <n v="5.6"/>
    <n v="5"/>
    <n v="13.290353999744905"/>
    <n v="24.098187679000034"/>
    <n v="17.03036768201477"/>
    <n v="4.5"/>
    <n v="17.2"/>
    <n v="21.8"/>
    <n v="8.5"/>
    <n v="1499"/>
    <n v="3980"/>
    <n v="317"/>
    <n v="279.10000000000002"/>
    <n v="1564"/>
    <n v="317.89999999999998"/>
    <n v="294.2"/>
    <n v="1680"/>
    <x v="6"/>
    <x v="7"/>
    <x v="6"/>
    <n v="0.4"/>
    <n v="65.232461975477335"/>
    <n v="291.60000000000002"/>
    <n v="167"/>
    <n v="876"/>
    <n v="131"/>
    <n v="115.8"/>
    <n v="668"/>
    <m/>
    <m/>
    <n v="0"/>
    <n v="1260339"/>
    <n v="806510"/>
    <n v="373903"/>
    <n v="401991.1"/>
    <n v="436137"/>
    <n v="9823.3780134815679"/>
    <n v="982544.55"/>
    <n v="437409.1"/>
    <n v="435475.86"/>
    <n v="19917.669999999998"/>
  </r>
  <r>
    <s v="רמת השרון"/>
    <s v="עירייה"/>
    <x v="1"/>
    <n v="14.166218265420927"/>
    <n v="58.54"/>
    <s v="-"/>
    <n v="48180.505036247981"/>
    <n v="23125"/>
    <n v="25056"/>
    <n v="6.2"/>
    <n v="7.8"/>
    <n v="8.9"/>
    <n v="8.1"/>
    <n v="9.3792158734770972"/>
    <n v="16.049895186899398"/>
    <n v="19.970527801415496"/>
    <n v="4.3"/>
    <n v="19.399999999999999"/>
    <n v="28"/>
    <n v="9.6"/>
    <n v="23"/>
    <n v="757"/>
    <n v="115.6"/>
    <n v="109.9"/>
    <n v="430"/>
    <n v="59.1"/>
    <n v="58"/>
    <n v="243"/>
    <x v="7"/>
    <x v="8"/>
    <x v="2"/>
    <n v="0.7"/>
    <n v="71.422600700067918"/>
    <n v="37.5"/>
    <n v="34.5"/>
    <n v="110"/>
    <n v="67.2"/>
    <n v="63.8"/>
    <n v="227"/>
    <m/>
    <m/>
    <n v="0"/>
    <n v="365262"/>
    <n v="266631"/>
    <n v="154574"/>
    <n v="165657.64000000001"/>
    <n v="134850"/>
    <n v="10377.03941923924"/>
    <n v="282329.34999999998"/>
    <n v="173780.2"/>
    <n v="74347.37"/>
    <n v="5047.37"/>
  </r>
  <r>
    <s v="רעננה"/>
    <s v="עירייה"/>
    <x v="1"/>
    <n v="14.511494252873563"/>
    <n v="47.06"/>
    <s v="-"/>
    <n v="80260.449650831812"/>
    <n v="39063"/>
    <n v="41198"/>
    <n v="7.1"/>
    <n v="7.6"/>
    <n v="7.7"/>
    <n v="7.4"/>
    <n v="11.389234986294543"/>
    <n v="15.969349613755297"/>
    <n v="18.127336157488163"/>
    <n v="4.8"/>
    <n v="19.7"/>
    <n v="27.1"/>
    <n v="8.8000000000000007"/>
    <n v="1228"/>
    <n v="1462"/>
    <n v="199.7"/>
    <n v="126.2"/>
    <n v="873"/>
    <n v="233.4"/>
    <n v="187.4"/>
    <n v="889"/>
    <x v="6"/>
    <x v="7"/>
    <x v="2"/>
    <n v="1.9"/>
    <n v="66.605409751335216"/>
    <n v="122.9"/>
    <n v="120"/>
    <n v="601"/>
    <n v="61.3"/>
    <n v="46.7"/>
    <n v="194"/>
    <m/>
    <m/>
    <n v="0"/>
    <n v="655821"/>
    <n v="370158"/>
    <n v="194896"/>
    <n v="205651"/>
    <n v="257457"/>
    <n v="11372.251264113625"/>
    <n v="424183"/>
    <n v="230179"/>
    <n v="116905"/>
    <n v="39938"/>
  </r>
  <r>
    <s v="שדרות"/>
    <s v="עירייה"/>
    <x v="1"/>
    <n v="20.484171322160151"/>
    <n v="22.7"/>
    <s v="-"/>
    <n v="33002.318323581116"/>
    <n v="17105"/>
    <n v="15898"/>
    <n v="11.7"/>
    <n v="9.6"/>
    <n v="7.2"/>
    <n v="5.5"/>
    <n v="17.544391249015213"/>
    <n v="21.362341676262044"/>
    <n v="13.211320526028725"/>
    <n v="4.4000000000000004"/>
    <n v="9.4"/>
    <n v="31.5"/>
    <n v="3.5"/>
    <n v="1863"/>
    <n v="1135"/>
    <n v="132.9"/>
    <n v="122.1"/>
    <n v="857"/>
    <n v="125"/>
    <n v="117.7"/>
    <n v="759"/>
    <x v="2"/>
    <x v="2"/>
    <x v="9"/>
    <n v="6.8"/>
    <n v="65.555697987437512"/>
    <n v="53.2"/>
    <n v="49"/>
    <n v="216"/>
    <n v="46.5"/>
    <n v="40.200000000000003"/>
    <n v="118"/>
    <m/>
    <m/>
    <n v="0"/>
    <n v="118276"/>
    <n v="52442"/>
    <n v="24099"/>
    <n v="47633.35"/>
    <n v="225439"/>
    <n v="10413.995666311308"/>
    <n v="102299.9"/>
    <n v="52166.35"/>
    <n v="13638.55"/>
    <n v="28878.81"/>
  </r>
  <r>
    <s v="שפרעם"/>
    <s v="עירייה"/>
    <x v="0"/>
    <n v="12.99985667192203"/>
    <n v="13.24"/>
    <n v="99.6"/>
    <n v="43543.497797559197"/>
    <n v="21914"/>
    <n v="21630"/>
    <n v="7.7"/>
    <n v="7.9"/>
    <n v="8.1"/>
    <n v="9.1999999999999993"/>
    <n v="18.152171416760442"/>
    <n v="18.871001079392784"/>
    <n v="17.745676687412441"/>
    <n v="4.4000000000000004"/>
    <n v="8"/>
    <n v="28.9"/>
    <n v="3.1"/>
    <n v="-5"/>
    <n v="847"/>
    <n v="47.6"/>
    <n v="42.1"/>
    <n v="200"/>
    <n v="25.3"/>
    <n v="23.1"/>
    <n v="107"/>
    <x v="1"/>
    <x v="1"/>
    <x v="0"/>
    <n v="0.6"/>
    <n v="51.465587044534409"/>
    <n v="64"/>
    <n v="58.5"/>
    <n v="312"/>
    <n v="46.7"/>
    <n v="42.6"/>
    <n v="205"/>
    <m/>
    <m/>
    <n v="0"/>
    <n v="97770"/>
    <n v="57502"/>
    <n v="35949"/>
    <n v="103307.1"/>
    <n v="160532"/>
    <n v="5930.7362307140093"/>
    <n v="95205.4"/>
    <n v="69700.100000000006"/>
    <n v="18614.900000000001"/>
    <n v="586.79999999999995"/>
  </r>
  <r>
    <s v="תל אביב -יפו"/>
    <s v="עירייה"/>
    <x v="2"/>
    <n v="16.58622760022169"/>
    <n v="48.17"/>
    <n v="4.8"/>
    <n v="474529.60197924468"/>
    <n v="236323"/>
    <n v="238206"/>
    <n v="6.8"/>
    <n v="6.1"/>
    <n v="5.3"/>
    <n v="4.4000000000000004"/>
    <n v="13.949381493267021"/>
    <n v="27.867152761679982"/>
    <n v="15.991823488504414"/>
    <n v="4.2"/>
    <n v="15.4"/>
    <n v="20.9"/>
    <n v="7.1"/>
    <n v="2798"/>
    <n v="10137"/>
    <n v="720.3"/>
    <n v="549.29999999999995"/>
    <n v="4475"/>
    <n v="493.6"/>
    <n v="398"/>
    <n v="2867"/>
    <x v="6"/>
    <x v="7"/>
    <x v="6"/>
    <n v="1.7"/>
    <n v="59.61825477684237"/>
    <n v="589.4"/>
    <n v="299"/>
    <n v="2029"/>
    <n v="557.1"/>
    <n v="314.7"/>
    <n v="1833"/>
    <m/>
    <m/>
    <n v="0"/>
    <n v="5441893"/>
    <n v="3621685"/>
    <n v="1042969"/>
    <n v="1181944"/>
    <n v="1161178"/>
    <n v="13907.678198521866"/>
    <n v="4257399.4040000001"/>
    <n v="1183001.7339999999"/>
    <n v="2444072.1519999998"/>
    <n v="139114.08600000001"/>
  </r>
  <r>
    <s v="אבו גוש"/>
    <s v="מועצה מקומית"/>
    <x v="0"/>
    <n v="9.029927760577916"/>
    <n v="16.100000000000001"/>
    <n v="99"/>
    <n v="7942.3156684100049"/>
    <n v="3949"/>
    <n v="3994"/>
    <n v="9.6"/>
    <n v="9.1999999999999993"/>
    <n v="9.3000000000000007"/>
    <n v="8.6999999999999993"/>
    <n v="16.834550491060185"/>
    <n v="20.246789221858474"/>
    <n v="14.94585746663309"/>
    <n v="4.3"/>
    <n v="7"/>
    <n v="33.299999999999997"/>
    <n v="2.4"/>
    <n v="-21"/>
    <n v="142"/>
    <n v="14.5"/>
    <n v="14.5"/>
    <n v="77"/>
    <n v="4.2"/>
    <n v="3.3"/>
    <n v="16"/>
    <x v="1"/>
    <x v="1"/>
    <x v="3"/>
    <n v="0"/>
    <n v="55.14330585001963"/>
    <n v="4.8"/>
    <n v="3.9"/>
    <n v="21"/>
    <n v="5.2"/>
    <n v="5"/>
    <n v="26"/>
    <m/>
    <m/>
    <n v="0"/>
    <n v="18224"/>
    <n v="9380"/>
    <n v="7726"/>
    <n v="11688.754000000001"/>
    <n v="45869"/>
    <n v="8053.4446967914255"/>
    <n v="12622.332"/>
    <n v="10612.754000000001"/>
    <n v="1715.819"/>
    <n v="53.448"/>
  </r>
  <r>
    <s v="אבו סנאן"/>
    <s v="מועצה מקומית"/>
    <x v="0"/>
    <n v="11.970074812967582"/>
    <n v="14.37"/>
    <n v="99.8"/>
    <n v="14686.962578266915"/>
    <n v="7538"/>
    <n v="7149"/>
    <n v="8.9"/>
    <n v="7.9"/>
    <n v="8.1"/>
    <n v="8.6999999999999993"/>
    <n v="18.022741199700416"/>
    <n v="20.494314700074895"/>
    <n v="16.43630421461156"/>
    <n v="3.9"/>
    <n v="7.6"/>
    <n v="30"/>
    <n v="2.8"/>
    <n v="33"/>
    <n v="343"/>
    <n v="17"/>
    <n v="15.1"/>
    <n v="68"/>
    <n v="12.1"/>
    <n v="10.199999999999999"/>
    <n v="42"/>
    <x v="1"/>
    <x v="1"/>
    <x v="9"/>
    <n v="1.4"/>
    <n v="54.509138120443424"/>
    <n v="20.6"/>
    <n v="16.8"/>
    <n v="83"/>
    <n v="19.100000000000001"/>
    <n v="19.100000000000001"/>
    <n v="82"/>
    <m/>
    <m/>
    <n v="0"/>
    <n v="23004"/>
    <n v="8685"/>
    <n v="6952"/>
    <n v="10081.627382971699"/>
    <n v="76677"/>
    <n v="7233.4221207320688"/>
    <n v="22011"/>
    <n v="18608.310000000001"/>
    <n v="2606.7600000000002"/>
    <n v="27.98"/>
  </r>
  <r>
    <s v="אבן יהודה"/>
    <s v="מועצה מקומית"/>
    <x v="1"/>
    <n v="13.774061218049857"/>
    <n v="59.96"/>
    <s v="-"/>
    <n v="14365.083938417119"/>
    <n v="7065"/>
    <n v="7300"/>
    <n v="5.7"/>
    <n v="9"/>
    <n v="10.7"/>
    <n v="9.3000000000000007"/>
    <n v="10.483814827706231"/>
    <n v="15.245388096066828"/>
    <n v="21.183431952662719"/>
    <n v="3.9"/>
    <n v="14.5"/>
    <n v="31.3"/>
    <n v="6.1"/>
    <n v="72"/>
    <n v="305"/>
    <n v="31.6"/>
    <n v="28.4"/>
    <n v="111"/>
    <n v="24.3"/>
    <n v="14.7"/>
    <n v="55"/>
    <x v="7"/>
    <x v="8"/>
    <x v="5"/>
    <n v="2.1"/>
    <n v="73.784921546115584"/>
    <n v="20.399999999999999"/>
    <n v="20.100000000000001"/>
    <n v="92"/>
    <n v="24.3"/>
    <n v="24"/>
    <n v="103"/>
    <m/>
    <m/>
    <n v="0"/>
    <n v="66301"/>
    <n v="52677"/>
    <n v="37590"/>
    <n v="42918.18"/>
    <n v="25689"/>
    <n v="6362.9283610069706"/>
    <n v="58451"/>
    <n v="40178.18"/>
    <n v="8867"/>
    <n v="6960.77"/>
  </r>
  <r>
    <s v="אורנית"/>
    <s v="מועצה מקומית"/>
    <x v="1"/>
    <n v="16.685431209187122"/>
    <n v="53.3"/>
    <s v="-"/>
    <n v="9295.2003731826189"/>
    <n v="4730"/>
    <n v="4565"/>
    <n v="6.9"/>
    <n v="9.5"/>
    <n v="11.2"/>
    <n v="9.3000000000000007"/>
    <n v="12.318450779989242"/>
    <n v="16.083916083916083"/>
    <n v="20.010758472296931"/>
    <n v="4.8"/>
    <n v="10"/>
    <n v="33.6"/>
    <n v="2.8"/>
    <n v="109"/>
    <n v="196"/>
    <n v="10.3"/>
    <n v="10"/>
    <n v="29"/>
    <n v="17"/>
    <n v="17"/>
    <n v="60"/>
    <x v="6"/>
    <x v="7"/>
    <x v="3"/>
    <n v="0"/>
    <n v="75.326215895610915"/>
    <n v="13.2"/>
    <n v="11"/>
    <n v="49"/>
    <n v="43.1"/>
    <n v="37"/>
    <n v="136"/>
    <m/>
    <m/>
    <n v="0"/>
    <n v="40559"/>
    <n v="22002"/>
    <n v="20705"/>
    <n v="24379"/>
    <n v="25062"/>
    <n v="7851.4714121231746"/>
    <n v="23704"/>
    <n v="21410"/>
    <n v="1027"/>
    <n v="0"/>
  </r>
  <r>
    <s v="אזור"/>
    <s v="מועצה מקומית"/>
    <x v="1"/>
    <n v="18.156786524133466"/>
    <n v="24.87"/>
    <s v="-"/>
    <n v="13592.855514546694"/>
    <n v="6741"/>
    <n v="6852"/>
    <n v="8.5"/>
    <n v="8.4"/>
    <n v="7.7"/>
    <n v="5.6"/>
    <n v="12.234238210843817"/>
    <n v="21.408077687044802"/>
    <n v="16.383432649157655"/>
    <n v="4.8"/>
    <n v="15"/>
    <n v="28.1"/>
    <n v="6"/>
    <n v="-11"/>
    <n v="309"/>
    <n v="58.8"/>
    <n v="58.7"/>
    <n v="301"/>
    <n v="2.8"/>
    <n v="2.2000000000000002"/>
    <n v="8"/>
    <x v="5"/>
    <x v="5"/>
    <x v="7"/>
    <n v="9.5"/>
    <n v="68.271334792122545"/>
    <n v="43.1"/>
    <n v="3.4"/>
    <n v="15"/>
    <n v="1.8"/>
    <n v="1.5"/>
    <n v="5"/>
    <m/>
    <m/>
    <n v="0"/>
    <n v="79274"/>
    <n v="56532"/>
    <n v="26337"/>
    <n v="28356"/>
    <n v="26440"/>
    <n v="7930.5632201148992"/>
    <n v="60001"/>
    <n v="29443"/>
    <n v="19063"/>
    <n v="5974"/>
  </r>
  <r>
    <s v="אכסאל"/>
    <s v="מועצה מקומית"/>
    <x v="0"/>
    <n v="13.157142857142857"/>
    <n v="16.41"/>
    <n v="99.9"/>
    <n v="15335.969968299696"/>
    <n v="7904"/>
    <n v="7432"/>
    <n v="9.3000000000000007"/>
    <n v="9.6"/>
    <n v="9.4"/>
    <n v="10.1"/>
    <n v="19.092331768388107"/>
    <n v="18.746739697443925"/>
    <n v="15.232133541992695"/>
    <n v="3.2"/>
    <n v="5.4"/>
    <n v="34.299999999999997"/>
    <n v="1.6"/>
    <n v="-6"/>
    <n v="227"/>
    <n v="20.5"/>
    <n v="17.600000000000001"/>
    <n v="74"/>
    <n v="15"/>
    <n v="11.9"/>
    <n v="53"/>
    <x v="1"/>
    <x v="1"/>
    <x v="9"/>
    <n v="1.5"/>
    <n v="50.83156062657126"/>
    <n v="10.3"/>
    <n v="9.6999999999999993"/>
    <n v="42"/>
    <n v="24.5"/>
    <n v="21.9"/>
    <n v="98"/>
    <m/>
    <m/>
    <n v="0"/>
    <n v="18069"/>
    <n v="10327"/>
    <n v="8262"/>
    <n v="20604"/>
    <n v="73252"/>
    <n v="6238.2751268915636"/>
    <n v="19741"/>
    <n v="15264"/>
    <n v="1920"/>
    <n v="498"/>
  </r>
  <r>
    <s v="אליכין"/>
    <s v="מועצה מקומית"/>
    <x v="1"/>
    <n v="15.224913494809689"/>
    <n v="31.26"/>
    <s v="-"/>
    <n v="3461.7069850263888"/>
    <n v="1736"/>
    <n v="1726"/>
    <n v="7.4"/>
    <n v="7.2"/>
    <n v="8.1"/>
    <n v="8.5"/>
    <n v="14.326978625072211"/>
    <n v="15.82900057770075"/>
    <n v="19.150779896013866"/>
    <n v="6.2"/>
    <n v="13.3"/>
    <n v="27.4"/>
    <n v="5.3"/>
    <n v="-32"/>
    <n v="94"/>
    <n v="0.8"/>
    <n v="0.8"/>
    <n v="4"/>
    <n v="2.1"/>
    <n v="0.8"/>
    <n v="3"/>
    <x v="5"/>
    <x v="5"/>
    <x v="3"/>
    <n v="0"/>
    <n v="75.779196395043186"/>
    <n v="1.2"/>
    <n v="1.1000000000000001"/>
    <n v="4"/>
    <n v="2.8"/>
    <n v="2.8"/>
    <n v="12"/>
    <m/>
    <m/>
    <n v="0"/>
    <n v="15604"/>
    <n v="7573"/>
    <n v="7354"/>
    <n v="9413"/>
    <n v="13395"/>
    <n v="8935.7649661859523"/>
    <n v="8683"/>
    <n v="8409"/>
    <n v="159"/>
    <n v="0"/>
  </r>
  <r>
    <s v="אלפי מנשה"/>
    <s v="מועצה מקומית"/>
    <x v="1"/>
    <n v="17.627635255270508"/>
    <n v="40.659999999999997"/>
    <s v="-"/>
    <n v="7975.1233055966377"/>
    <n v="4020"/>
    <n v="3955"/>
    <n v="6"/>
    <n v="8.1999999999999993"/>
    <n v="10.9"/>
    <n v="9.6999999999999993"/>
    <n v="12.175548589341693"/>
    <n v="16.012539184952978"/>
    <n v="21.442006269592476"/>
    <n v="4.5"/>
    <n v="11.2"/>
    <n v="31.2"/>
    <n v="2.7"/>
    <n v="-26"/>
    <n v="178"/>
    <n v="25.1"/>
    <n v="22.6"/>
    <n v="163"/>
    <n v="0.6"/>
    <n v="0.6"/>
    <s v="-"/>
    <x v="6"/>
    <x v="7"/>
    <x v="3"/>
    <n v="0.4"/>
    <n v="73.508392886820673"/>
    <n v="4.9000000000000004"/>
    <n v="4.7"/>
    <n v="23"/>
    <n v="1.2"/>
    <n v="1.2"/>
    <n v="4"/>
    <m/>
    <m/>
    <n v="0"/>
    <n v="38853"/>
    <n v="22043"/>
    <n v="19120"/>
    <n v="23199"/>
    <n v="26644"/>
    <n v="8212.662988425107"/>
    <n v="25193"/>
    <n v="21066"/>
    <n v="1278"/>
    <n v="1060"/>
  </r>
  <r>
    <s v="אלקנה"/>
    <s v="מועצה מקומית"/>
    <x v="1"/>
    <n v="13.679544015199493"/>
    <n v="72.95"/>
    <s v="-"/>
    <n v="4300.7946098087577"/>
    <n v="2126"/>
    <n v="2175"/>
    <n v="12.1"/>
    <n v="10.8"/>
    <n v="9.8000000000000007"/>
    <n v="7.7"/>
    <n v="13.950244129272264"/>
    <n v="17.50755638223669"/>
    <n v="11.090444082771448"/>
    <n v="3.6"/>
    <n v="13.4"/>
    <n v="37.9"/>
    <n v="5.4"/>
    <n v="125"/>
    <n v="88"/>
    <n v="9.4"/>
    <n v="8.3000000000000007"/>
    <n v="60"/>
    <n v="15.7"/>
    <n v="15.4"/>
    <n v="69"/>
    <x v="6"/>
    <x v="7"/>
    <x v="3"/>
    <n v="0.9"/>
    <n v="80.622095101894885"/>
    <n v="1"/>
    <n v="0.5"/>
    <s v=".."/>
    <n v="0.2"/>
    <n v="0.2"/>
    <s v=".."/>
    <m/>
    <m/>
    <n v="0"/>
    <n v="22614"/>
    <n v="9653"/>
    <n v="7621"/>
    <n v="8352"/>
    <n v="19158"/>
    <n v="9715.1814468670837"/>
    <n v="11651"/>
    <n v="8837"/>
    <n v="1662"/>
    <n v="527"/>
  </r>
  <r>
    <s v="אעבלין"/>
    <s v="מועצה מקומית"/>
    <x v="0"/>
    <n v="12.12213276621601"/>
    <n v="14.23"/>
    <n v="99.9"/>
    <n v="13842.513983145804"/>
    <n v="6966"/>
    <n v="6877"/>
    <n v="8"/>
    <n v="8.6"/>
    <n v="9.1"/>
    <n v="9.4"/>
    <n v="17.48175973416167"/>
    <n v="19.367189193093985"/>
    <n v="16.882178718485878"/>
    <n v="4.0999999999999996"/>
    <n v="7.1"/>
    <n v="31.3"/>
    <n v="2.4"/>
    <n v="24"/>
    <n v="213"/>
    <n v="14.1"/>
    <n v="13.3"/>
    <n v="65"/>
    <n v="12"/>
    <n v="6.5"/>
    <n v="33"/>
    <x v="1"/>
    <x v="1"/>
    <x v="0"/>
    <n v="0.1"/>
    <n v="59.306910147333468"/>
    <n v="19.5"/>
    <n v="18.2"/>
    <n v="100"/>
    <n v="18.399999999999999"/>
    <n v="16.5"/>
    <n v="87"/>
    <m/>
    <m/>
    <n v="0"/>
    <n v="27791"/>
    <n v="19024"/>
    <n v="11520"/>
    <n v="34763.710700000003"/>
    <n v="56777"/>
    <n v="6087.4780478892453"/>
    <n v="24814.827300000001"/>
    <n v="16761.190699999999"/>
    <n v="3363.2799"/>
    <n v="3403.9901"/>
  </r>
  <r>
    <s v="אפרת"/>
    <s v="מועצה מקומית"/>
    <x v="1"/>
    <n v="12.846046604262099"/>
    <n v="54.69"/>
    <s v="-"/>
    <n v="11853.272700188762"/>
    <n v="6082"/>
    <n v="5771"/>
    <n v="11"/>
    <n v="12.9"/>
    <n v="12.1"/>
    <n v="10.3"/>
    <n v="12.469417025225681"/>
    <n v="18.661942124356703"/>
    <n v="11.001434236058381"/>
    <n v="3.5"/>
    <n v="8.1"/>
    <n v="43"/>
    <n v="2.2999999999999998"/>
    <n v="-56"/>
    <n v="170"/>
    <n v="2.8"/>
    <n v="1.8"/>
    <n v="6"/>
    <n v="18.2"/>
    <n v="10.7"/>
    <n v="66"/>
    <x v="5"/>
    <x v="5"/>
    <x v="0"/>
    <n v="0"/>
    <n v="72.976714915040901"/>
    <n v="15.4"/>
    <n v="15.4"/>
    <n v="145"/>
    <n v="0.2"/>
    <n v="0.2"/>
    <s v=".."/>
    <m/>
    <m/>
    <n v="0"/>
    <n v="49448"/>
    <n v="24393"/>
    <n v="23010"/>
    <n v="24452.374489999998"/>
    <n v="69354"/>
    <n v="9991.7552726272752"/>
    <n v="26945.021499999999"/>
    <n v="24984.374489999998"/>
    <n v="1222.16417"/>
    <n v="31.857309999999998"/>
  </r>
  <r>
    <s v="בועיינה-נוג'ידאת"/>
    <s v="מועצה מקומית"/>
    <x v="0"/>
    <n v="12.71856786011657"/>
    <n v="12.87"/>
    <n v="99.9"/>
    <n v="10288.565647775251"/>
    <n v="5343"/>
    <n v="4946"/>
    <n v="9.3000000000000007"/>
    <n v="10.1"/>
    <n v="9.6999999999999993"/>
    <n v="9.6999999999999993"/>
    <n v="18.621829137914279"/>
    <n v="20.837787928856059"/>
    <n v="14.413451258625717"/>
    <n v="2.7"/>
    <n v="4.7"/>
    <n v="34.6"/>
    <n v="1.7"/>
    <n v="1"/>
    <n v="199"/>
    <n v="23.5"/>
    <n v="21.1"/>
    <n v="96"/>
    <n v="8.6"/>
    <n v="8.6"/>
    <n v="38"/>
    <x v="1"/>
    <x v="0"/>
    <x v="1"/>
    <n v="0.4"/>
    <n v="56.529112492933862"/>
    <n v="13.5"/>
    <n v="12.4"/>
    <n v="54"/>
    <n v="13.1"/>
    <n v="12.3"/>
    <n v="65"/>
    <m/>
    <m/>
    <n v="0"/>
    <n v="22163"/>
    <n v="9057"/>
    <n v="7582"/>
    <n v="28106.947"/>
    <n v="67888"/>
    <n v="8790.0493709301118"/>
    <n v="13282.885"/>
    <n v="11702.947"/>
    <n v="901.65599999999995"/>
    <n v="0"/>
  </r>
  <r>
    <s v="בוקעאתא"/>
    <s v="מועצה מקומית"/>
    <x v="0"/>
    <n v="12.86429202237268"/>
    <n v="8.8800000000000008"/>
    <n v="100"/>
    <n v="6805.3012703637578"/>
    <n v="3460"/>
    <n v="3346"/>
    <n v="6.9"/>
    <n v="7.8"/>
    <n v="8.8000000000000007"/>
    <n v="9.1999999999999993"/>
    <n v="17.002204261572373"/>
    <n v="20.543717854518736"/>
    <n v="18.559882439382807"/>
    <n v="3.8"/>
    <n v="7.4"/>
    <n v="29.2"/>
    <n v="2.5"/>
    <n v="6"/>
    <n v="182"/>
    <n v="12.8"/>
    <n v="10.8"/>
    <n v="46"/>
    <n v="8.9"/>
    <n v="6"/>
    <n v="26"/>
    <x v="1"/>
    <x v="1"/>
    <x v="4"/>
    <n v="0.2"/>
    <n v="25.367156208277702"/>
    <n v="5.3"/>
    <n v="4.4000000000000004"/>
    <n v="27"/>
    <n v="11.1"/>
    <n v="9.1"/>
    <n v="48"/>
    <m/>
    <m/>
    <n v="0"/>
    <n v="27371"/>
    <n v="6064"/>
    <n v="5312"/>
    <n v="10037"/>
    <n v="30759"/>
    <n v="8556.7115527403275"/>
    <n v="10176"/>
    <n v="8182"/>
    <n v="1036"/>
    <n v="455"/>
  </r>
  <r>
    <s v="ביר אל-מכסור"/>
    <s v="מועצה מקומית"/>
    <x v="0"/>
    <n v="13.60016764459346"/>
    <n v="9.85"/>
    <n v="100"/>
    <n v="10174.873541827994"/>
    <n v="5148"/>
    <n v="5027"/>
    <n v="9.9"/>
    <n v="10.1"/>
    <n v="9.8000000000000007"/>
    <n v="9.1"/>
    <n v="18.348894348894348"/>
    <n v="19.41031941031941"/>
    <n v="14.496314496314497"/>
    <n v="3.2"/>
    <n v="5.7"/>
    <n v="35.200000000000003"/>
    <n v="2.2000000000000002"/>
    <n v="48"/>
    <n v="208"/>
    <n v="28.7"/>
    <n v="18.7"/>
    <n v="87"/>
    <n v="4.0999999999999996"/>
    <n v="2.9"/>
    <n v="12"/>
    <x v="0"/>
    <x v="0"/>
    <x v="9"/>
    <n v="0"/>
    <n v="61.493348591045624"/>
    <n v="11.4"/>
    <n v="10.8"/>
    <n v="66"/>
    <n v="13.5"/>
    <n v="13.3"/>
    <n v="77"/>
    <m/>
    <m/>
    <n v="0"/>
    <n v="13440"/>
    <n v="5546"/>
    <n v="4588"/>
    <n v="9408.1569999999992"/>
    <n v="37016"/>
    <n v="5176.4771113349316"/>
    <n v="11837.059499999999"/>
    <n v="10932.156999999999"/>
    <n v="660.29809999999998"/>
    <n v="0"/>
  </r>
  <r>
    <s v="בית אל"/>
    <s v="מועצה מקומית"/>
    <x v="1"/>
    <n v="18.898809523809522"/>
    <n v="52.02"/>
    <s v="-"/>
    <n v="6107.7586344380416"/>
    <n v="3297"/>
    <n v="2810"/>
    <n v="11.7"/>
    <n v="9.6999999999999993"/>
    <n v="10"/>
    <n v="20.6"/>
    <n v="19.826457105435495"/>
    <n v="9.9705304518664057"/>
    <n v="9.5448592010478066"/>
    <n v="2.6"/>
    <n v="6.1"/>
    <n v="44.1"/>
    <n v="2.1"/>
    <n v="-61"/>
    <n v="97"/>
    <s v="-"/>
    <s v="-"/>
    <s v="-"/>
    <n v="0.1"/>
    <n v="0.1"/>
    <s v="-"/>
    <x v="4"/>
    <x v="4"/>
    <x v="9"/>
    <n v="3.4"/>
    <n v="77.19097916071938"/>
    <n v="3.4"/>
    <s v="-"/>
    <s v="-"/>
    <s v="-"/>
    <s v="-"/>
    <s v="-"/>
    <m/>
    <m/>
    <n v="0"/>
    <n v="22013"/>
    <n v="7955"/>
    <n v="7295"/>
    <n v="7792.97"/>
    <n v="47694"/>
    <n v="11406.803079475349"/>
    <n v="9044.56"/>
    <n v="8181.97"/>
    <n v="337.07"/>
    <n v="0"/>
  </r>
  <r>
    <s v="בית אריה-עופרים"/>
    <s v="מועצה מקומית"/>
    <x v="1"/>
    <n v="17.157050057317537"/>
    <n v="30.2"/>
    <s v="-"/>
    <n v="5516.5197417680174"/>
    <n v="2795"/>
    <n v="2721"/>
    <n v="7.4"/>
    <n v="9.6"/>
    <n v="10.3"/>
    <n v="9.1999999999999993"/>
    <n v="13.612470545586369"/>
    <n v="17.328258111292367"/>
    <n v="19.902120717781401"/>
    <n v="4.4000000000000004"/>
    <n v="8.1999999999999993"/>
    <n v="32.799999999999997"/>
    <n v="2"/>
    <n v="25"/>
    <n v="122"/>
    <n v="2.1"/>
    <n v="2.1"/>
    <n v="3"/>
    <n v="2.1"/>
    <n v="0.9"/>
    <n v="1"/>
    <x v="5"/>
    <x v="5"/>
    <x v="3"/>
    <n v="0"/>
    <n v="70.889003083247687"/>
    <n v="20.7"/>
    <n v="20.7"/>
    <n v="94"/>
    <n v="4.9000000000000004"/>
    <n v="4.9000000000000004"/>
    <n v="24"/>
    <m/>
    <m/>
    <n v="0"/>
    <n v="31049"/>
    <n v="11957"/>
    <n v="11279"/>
    <n v="12808.63"/>
    <n v="26466"/>
    <n v="10390.246511042098"/>
    <n v="12984.661"/>
    <n v="12148.63"/>
    <n v="312.20800000000003"/>
    <n v="16.295999999999999"/>
  </r>
  <r>
    <s v="בית ג'ן"/>
    <s v="מועצה מקומית"/>
    <x v="0"/>
    <n v="19.682394258665443"/>
    <n v="17.66"/>
    <n v="100"/>
    <n v="12432.91800354159"/>
    <n v="6280"/>
    <n v="6153"/>
    <n v="7.7"/>
    <n v="7.6"/>
    <n v="7.9"/>
    <n v="8.1"/>
    <n v="17.477680366765867"/>
    <n v="22.319633234134965"/>
    <n v="16.858360813962843"/>
    <n v="4.2"/>
    <n v="7.8"/>
    <n v="27.9"/>
    <n v="3.1"/>
    <n v="-1"/>
    <n v="327"/>
    <n v="14.1"/>
    <n v="13.4"/>
    <n v="60"/>
    <n v="10.5"/>
    <n v="9.6"/>
    <n v="39"/>
    <x v="4"/>
    <x v="4"/>
    <x v="8"/>
    <n v="0"/>
    <n v="53.034760815081185"/>
    <n v="8.3000000000000007"/>
    <n v="8.3000000000000007"/>
    <n v="39"/>
    <n v="10.4"/>
    <n v="10.4"/>
    <n v="48"/>
    <m/>
    <m/>
    <n v="0"/>
    <n v="22816"/>
    <n v="12338"/>
    <n v="10094"/>
    <n v="13833"/>
    <n v="78725"/>
    <n v="8464.8672154051783"/>
    <n v="17997"/>
    <n v="14755"/>
    <n v="2607"/>
    <n v="110"/>
  </r>
  <r>
    <s v="בית דגן"/>
    <s v="מועצה מקומית"/>
    <x v="1"/>
    <n v="17.374743627307353"/>
    <n v="28.03"/>
    <s v="-"/>
    <n v="7823.4818321144121"/>
    <n v="3901"/>
    <n v="3923"/>
    <n v="7.6"/>
    <n v="7.3"/>
    <n v="8"/>
    <n v="8"/>
    <n v="14.112233158634796"/>
    <n v="17.614725808513356"/>
    <n v="19.736673910264603"/>
    <n v="5"/>
    <n v="12.7"/>
    <n v="27.5"/>
    <n v="5"/>
    <n v="119"/>
    <n v="175"/>
    <n v="0.8"/>
    <n v="0.8"/>
    <n v="3"/>
    <n v="4.7"/>
    <n v="3.3"/>
    <n v="11"/>
    <x v="5"/>
    <x v="5"/>
    <x v="2"/>
    <n v="3.5"/>
    <n v="75.804701627486438"/>
    <n v="1.2"/>
    <n v="1.1000000000000001"/>
    <n v="4"/>
    <n v="4.0999999999999996"/>
    <n v="3.9"/>
    <n v="13"/>
    <m/>
    <m/>
    <n v="0"/>
    <n v="39435"/>
    <n v="27796"/>
    <n v="14706"/>
    <n v="14880.64"/>
    <n v="15363"/>
    <n v="7003.4034942204144"/>
    <n v="29636.02"/>
    <n v="15902.64"/>
    <n v="7877.07"/>
    <n v="0"/>
  </r>
  <r>
    <s v="בני עי&quot;ש"/>
    <s v="מועצה מקומית"/>
    <x v="1"/>
    <n v="19.008515815085158"/>
    <n v="15.88"/>
    <s v="-"/>
    <n v="6880.6824112352097"/>
    <n v="3320"/>
    <n v="3560"/>
    <n v="7.3"/>
    <n v="6.8"/>
    <n v="6"/>
    <n v="5.3"/>
    <n v="12.701642203168145"/>
    <n v="16.581892166836216"/>
    <n v="17.846243278593228"/>
    <n v="6.8"/>
    <n v="20.7"/>
    <n v="23.2"/>
    <n v="9.9"/>
    <n v="-19"/>
    <n v="193"/>
    <n v="1.1000000000000001"/>
    <n v="0.8"/>
    <n v="2"/>
    <s v="-"/>
    <s v="-"/>
    <s v="-"/>
    <x v="2"/>
    <x v="2"/>
    <x v="3"/>
    <n v="0"/>
    <n v="62.633889376646181"/>
    <n v="0.4"/>
    <n v="0.4"/>
    <s v="-"/>
    <n v="1.3"/>
    <n v="1.3"/>
    <n v="6"/>
    <m/>
    <m/>
    <n v="0"/>
    <n v="18672"/>
    <n v="10456"/>
    <n v="9657"/>
    <n v="11617.968000000001"/>
    <n v="22545"/>
    <n v="5987.3421759346074"/>
    <n v="13950.05"/>
    <n v="12392.968000000001"/>
    <n v="1440.8409999999999"/>
    <n v="0"/>
  </r>
  <r>
    <s v="בנימינה-גבעת עדה"/>
    <s v="מועצה מקומית"/>
    <x v="1"/>
    <n v="11.609797536457595"/>
    <n v="63.68"/>
    <s v="-"/>
    <n v="16281.10055226867"/>
    <n v="8156"/>
    <n v="8125"/>
    <n v="6.2"/>
    <n v="8.9"/>
    <n v="11.1"/>
    <n v="10"/>
    <n v="11.252380074933972"/>
    <n v="16.854001596953506"/>
    <n v="22.191511577912905"/>
    <n v="4.0999999999999996"/>
    <n v="9.5"/>
    <n v="32.200000000000003"/>
    <n v="3.6"/>
    <n v="118"/>
    <n v="231"/>
    <n v="37"/>
    <n v="24.6"/>
    <n v="125"/>
    <n v="10.4"/>
    <n v="10.1"/>
    <n v="46"/>
    <x v="6"/>
    <x v="7"/>
    <x v="0"/>
    <n v="0.4"/>
    <n v="72.182936908807051"/>
    <n v="18.2"/>
    <n v="17.899999999999999"/>
    <n v="96"/>
    <n v="23.2"/>
    <n v="18.5"/>
    <n v="92"/>
    <m/>
    <m/>
    <n v="0"/>
    <n v="81059"/>
    <n v="44324"/>
    <n v="30232"/>
    <n v="33486.31"/>
    <n v="33168"/>
    <n v="7012.8551588664041"/>
    <n v="47100.12"/>
    <n v="33669.31"/>
    <n v="8213.67"/>
    <n v="2409.21"/>
  </r>
  <r>
    <s v="בסמ&quot;ה"/>
    <s v="מועצה מקומית"/>
    <x v="0"/>
    <n v="13.593652119440383"/>
    <n v="15.51"/>
    <n v="100"/>
    <n v="10742.785601368829"/>
    <n v="5511"/>
    <n v="5232"/>
    <n v="10.199999999999999"/>
    <n v="10.1"/>
    <n v="10.199999999999999"/>
    <n v="9.9"/>
    <n v="19.556920785627852"/>
    <n v="18.411989202271243"/>
    <n v="13.878804803127617"/>
    <n v="2.8"/>
    <n v="5"/>
    <n v="36.200000000000003"/>
    <n v="1.8"/>
    <n v="25"/>
    <n v="199"/>
    <n v="9.9"/>
    <n v="9.5"/>
    <n v="41"/>
    <n v="1.9"/>
    <n v="1.9"/>
    <n v="8"/>
    <x v="1"/>
    <x v="0"/>
    <x v="0"/>
    <n v="0.2"/>
    <n v="45.660273216503384"/>
    <n v="7"/>
    <n v="6.5"/>
    <n v="28"/>
    <n v="9.8000000000000007"/>
    <n v="9.5"/>
    <n v="45"/>
    <m/>
    <m/>
    <n v="0"/>
    <n v="14298.328"/>
    <n v="8933.3279999999995"/>
    <n v="8062.1639999999998"/>
    <n v="17918.25"/>
    <n v="42447"/>
    <n v="5352.7085184193811"/>
    <n v="13665.13"/>
    <n v="12790.25"/>
    <n v="609.41399999999999"/>
    <n v="206.08600000000001"/>
  </r>
  <r>
    <s v="בסמת טבעון"/>
    <s v="מועצה מקומית"/>
    <x v="0"/>
    <n v="12.269300753834155"/>
    <n v="10.65"/>
    <n v="99.8"/>
    <n v="8145.2549382014558"/>
    <n v="4048"/>
    <n v="4097"/>
    <n v="8.6999999999999993"/>
    <n v="8.9"/>
    <n v="9"/>
    <n v="9.5"/>
    <n v="18.686310620012279"/>
    <n v="18.698588090853285"/>
    <n v="16.648250460405155"/>
    <n v="3.7"/>
    <n v="6.2"/>
    <n v="32.200000000000003"/>
    <n v="2.4"/>
    <n v="-44"/>
    <n v="148"/>
    <n v="7"/>
    <n v="7"/>
    <n v="38"/>
    <n v="8.3000000000000007"/>
    <n v="6.1"/>
    <n v="26"/>
    <x v="1"/>
    <x v="1"/>
    <x v="9"/>
    <n v="0.2"/>
    <n v="43.021608218207582"/>
    <n v="10.3"/>
    <n v="9.8000000000000007"/>
    <n v="55"/>
    <n v="12.4"/>
    <n v="12.4"/>
    <n v="57"/>
    <m/>
    <m/>
    <n v="0"/>
    <n v="10433"/>
    <n v="5133"/>
    <n v="4247"/>
    <n v="10056"/>
    <n v="34056"/>
    <n v="5588.8981186452438"/>
    <n v="8951"/>
    <n v="8076"/>
    <n v="568"/>
    <n v="0"/>
  </r>
  <r>
    <s v="בענה"/>
    <s v="מועצה מקומית"/>
    <x v="0"/>
    <n v="15.039643211100099"/>
    <n v="10.35"/>
    <n v="99.8"/>
    <n v="8628.8518980172939"/>
    <n v="4342"/>
    <n v="4286"/>
    <n v="7.9"/>
    <n v="8.9"/>
    <n v="9"/>
    <n v="10"/>
    <n v="19.7357747131765"/>
    <n v="19.098389152856647"/>
    <n v="16.212770888863137"/>
    <n v="3.4"/>
    <n v="5.7"/>
    <n v="31.9"/>
    <n v="2.1"/>
    <n v="-10"/>
    <n v="155"/>
    <n v="0.1"/>
    <n v="0.1"/>
    <s v="-"/>
    <n v="5.2"/>
    <n v="2.6"/>
    <n v="11"/>
    <x v="1"/>
    <x v="0"/>
    <x v="9"/>
    <n v="0.9"/>
    <n v="63.174550299800138"/>
    <n v="3"/>
    <n v="2.4"/>
    <n v="14"/>
    <n v="1.6"/>
    <n v="1.6"/>
    <n v="7"/>
    <m/>
    <m/>
    <n v="0"/>
    <n v="15437"/>
    <n v="9160"/>
    <n v="5041"/>
    <n v="23267.804"/>
    <n v="37141"/>
    <n v="6088.1032170769922"/>
    <n v="17984.995999999999"/>
    <n v="12028.804"/>
    <n v="3464.0619999999999"/>
    <n v="11.53"/>
  </r>
  <r>
    <s v="ג'דיידה-מכר"/>
    <s v="מועצה מקומית"/>
    <x v="0"/>
    <n v="12.965798876978049"/>
    <n v="23"/>
    <s v="-"/>
    <n v="21616.590292862416"/>
    <n v="10920"/>
    <n v="10697"/>
    <n v="8.1999999999999993"/>
    <n v="8.4"/>
    <n v="8.5"/>
    <n v="9.6999999999999993"/>
    <n v="18.564093074894757"/>
    <n v="18.466947309987511"/>
    <n v="17.925706619789981"/>
    <n v="4"/>
    <n v="6.2"/>
    <n v="30.8"/>
    <n v="2.2000000000000002"/>
    <n v="-84"/>
    <n v="647"/>
    <n v="29.4"/>
    <n v="25.2"/>
    <n v="123"/>
    <n v="22"/>
    <n v="18.8"/>
    <n v="98"/>
    <x v="1"/>
    <x v="2"/>
    <x v="3"/>
    <n v="0.1"/>
    <n v="53.634873811864956"/>
    <n v="30.9"/>
    <n v="29.3"/>
    <n v="139"/>
    <n v="21.6"/>
    <n v="21.4"/>
    <n v="118"/>
    <m/>
    <m/>
    <n v="0"/>
    <n v="64311"/>
    <n v="34951"/>
    <n v="29997"/>
    <n v="39721.39"/>
    <n v="76990"/>
    <n v="6616.3876063191819"/>
    <n v="42337.75"/>
    <n v="36008.39"/>
    <n v="3722.83"/>
    <n v="0"/>
  </r>
  <r>
    <s v="ג'ולס"/>
    <s v="מועצה מקומית"/>
    <x v="0"/>
    <n v="14.654758474983193"/>
    <n v="11.94"/>
    <n v="99.8"/>
    <n v="6737.7498788745952"/>
    <n v="3417"/>
    <n v="3320"/>
    <n v="7.6"/>
    <n v="7.1"/>
    <n v="7.4"/>
    <n v="8"/>
    <n v="17.839121401009201"/>
    <n v="21.875927574948058"/>
    <n v="17.972692193529237"/>
    <n v="4.7"/>
    <n v="7.6"/>
    <n v="26.8"/>
    <n v="2.8"/>
    <n v="42"/>
    <n v="258"/>
    <n v="7.7"/>
    <n v="7.5"/>
    <n v="26"/>
    <n v="5.9"/>
    <n v="5.9"/>
    <n v="19"/>
    <x v="2"/>
    <x v="1"/>
    <x v="9"/>
    <n v="2"/>
    <n v="53.75954965822276"/>
    <n v="14.4"/>
    <n v="13.9"/>
    <n v="65"/>
    <n v="10.1"/>
    <n v="10.1"/>
    <n v="44"/>
    <m/>
    <m/>
    <n v="0"/>
    <n v="35501"/>
    <n v="19769"/>
    <n v="16600"/>
    <n v="43073.466999999997"/>
    <n v="93933"/>
    <n v="6063.5372287774262"/>
    <n v="30257.076000000001"/>
    <n v="26186.778999999999"/>
    <n v="2562.0949999999998"/>
    <n v="0"/>
  </r>
  <r>
    <s v="ג'לג'וליה"/>
    <s v="מועצה מקומית"/>
    <x v="0"/>
    <n v="13.416964359890338"/>
    <n v="45.95"/>
    <s v="-"/>
    <n v="10608.707846848773"/>
    <n v="5431"/>
    <n v="5178"/>
    <n v="10.199999999999999"/>
    <n v="10.199999999999999"/>
    <n v="9.6"/>
    <n v="10.3"/>
    <n v="18.804788387218398"/>
    <n v="16.881892732585541"/>
    <n v="14.581958714299178"/>
    <n v="3.1"/>
    <n v="6.4"/>
    <n v="35.799999999999997"/>
    <n v="2.7"/>
    <n v="-34"/>
    <n v="94"/>
    <n v="21.7"/>
    <n v="21"/>
    <n v="93"/>
    <n v="8.5"/>
    <n v="8.3000000000000007"/>
    <n v="34"/>
    <x v="1"/>
    <x v="5"/>
    <x v="3"/>
    <n v="1.2"/>
    <n v="69.502617801047123"/>
    <n v="5.0999999999999996"/>
    <n v="3.5"/>
    <n v="21"/>
    <n v="3"/>
    <n v="2.7"/>
    <n v="15"/>
    <m/>
    <m/>
    <n v="0"/>
    <n v="113309"/>
    <n v="66161"/>
    <n v="51111"/>
    <n v="55229"/>
    <n v="71039"/>
    <n v="5975.2763720385792"/>
    <n v="77696.847999999998"/>
    <n v="59351"/>
    <n v="9332"/>
    <n v="107"/>
  </r>
  <r>
    <s v="ג'סר א-זרקא"/>
    <s v="מועצה מקומית"/>
    <x v="0"/>
    <n v="14.678641594162222"/>
    <n v="22.93"/>
    <n v="100"/>
    <n v="15502.047313178178"/>
    <n v="7736"/>
    <n v="7766"/>
    <n v="10.8"/>
    <n v="11.3"/>
    <n v="10.5"/>
    <n v="10.6"/>
    <n v="18.59114952909302"/>
    <n v="19.57811895239324"/>
    <n v="12.940265772158433"/>
    <n v="2.4"/>
    <n v="3.5"/>
    <n v="38.700000000000003"/>
    <n v="0.9"/>
    <n v="-34"/>
    <n v="273"/>
    <n v="20.8"/>
    <n v="20.8"/>
    <n v="113"/>
    <n v="15.3"/>
    <n v="8.6"/>
    <n v="50"/>
    <x v="0"/>
    <x v="2"/>
    <x v="9"/>
    <n v="0"/>
    <n v="43.378661087866114"/>
    <n v="13.5"/>
    <n v="13.3"/>
    <n v="75"/>
    <n v="13.7"/>
    <n v="12.1"/>
    <n v="68"/>
    <m/>
    <m/>
    <n v="0"/>
    <n v="15634"/>
    <n v="9863"/>
    <n v="6430"/>
    <n v="11359.81"/>
    <n v="29936"/>
    <n v="7101.9258447142802"/>
    <n v="12292.35"/>
    <n v="8560.81"/>
    <n v="1565.18"/>
    <n v="1077.0999999999999"/>
  </r>
  <r>
    <s v="ג'ש (גוש חלב)"/>
    <s v="מועצה מקומית"/>
    <x v="0"/>
    <n v="15.798842901646641"/>
    <n v="12.97"/>
    <n v="98.6"/>
    <n v="3215.7137126910989"/>
    <n v="1570"/>
    <n v="1645"/>
    <n v="6.5"/>
    <n v="6.8"/>
    <n v="7.4"/>
    <n v="7.7"/>
    <n v="15.609452736318408"/>
    <n v="19.278606965174131"/>
    <n v="18.470149253731343"/>
    <n v="5"/>
    <n v="13.2"/>
    <n v="25"/>
    <n v="7.1"/>
    <n v="-13"/>
    <n v="84"/>
    <n v="2.8"/>
    <n v="0.9"/>
    <n v="3"/>
    <n v="2"/>
    <n v="0.2"/>
    <n v="1"/>
    <x v="5"/>
    <x v="1"/>
    <x v="5"/>
    <n v="0.8"/>
    <n v="49.590323839250878"/>
    <n v="9.1999999999999993"/>
    <n v="3"/>
    <n v="11"/>
    <n v="1.6"/>
    <n v="1.6"/>
    <n v="4"/>
    <m/>
    <m/>
    <n v="0"/>
    <n v="16166"/>
    <n v="7769"/>
    <n v="6213"/>
    <n v="30800.075499999999"/>
    <n v="47710"/>
    <n v="6433.6770307303714"/>
    <n v="10805.9177"/>
    <n v="8484.0755000000008"/>
    <n v="1580.2627"/>
    <n v="0"/>
  </r>
  <r>
    <s v="ג'ת"/>
    <s v="מועצה מקומית"/>
    <x v="0"/>
    <n v="15.546329829520362"/>
    <n v="36.9"/>
    <s v="-"/>
    <n v="12644.981611642253"/>
    <n v="6434"/>
    <n v="6211"/>
    <n v="9.5"/>
    <n v="9.1"/>
    <n v="8.8000000000000007"/>
    <n v="8.6999999999999993"/>
    <n v="17.714511664689599"/>
    <n v="19.715302491103202"/>
    <n v="15.041518386714117"/>
    <n v="4.3"/>
    <n v="7.1"/>
    <n v="32.4"/>
    <n v="2.2999999999999998"/>
    <n v="-27"/>
    <n v="188"/>
    <n v="11.2"/>
    <n v="6.2"/>
    <n v="29"/>
    <n v="4.9000000000000004"/>
    <n v="4.4000000000000004"/>
    <n v="20"/>
    <x v="2"/>
    <x v="5"/>
    <x v="3"/>
    <n v="1.8"/>
    <n v="39.832068092937654"/>
    <n v="2.5"/>
    <n v="2.5"/>
    <n v="9"/>
    <s v="-"/>
    <s v="-"/>
    <s v="-"/>
    <m/>
    <m/>
    <n v="0"/>
    <n v="85374"/>
    <n v="56252"/>
    <n v="39179"/>
    <n v="40731"/>
    <n v="49717"/>
    <n v="5481.4601431647015"/>
    <n v="63932"/>
    <n v="44780"/>
    <n v="5964"/>
    <n v="6106"/>
  </r>
  <r>
    <s v="גבעת זאב"/>
    <s v="מועצה מקומית"/>
    <x v="1"/>
    <n v="13.303837843399528"/>
    <n v="58.02"/>
    <s v="-"/>
    <n v="21097.161820852696"/>
    <n v="10563"/>
    <n v="10534"/>
    <n v="15.4"/>
    <n v="14.1"/>
    <n v="11.6"/>
    <n v="6.9"/>
    <n v="14.073090960800114"/>
    <n v="17.395838270844198"/>
    <n v="9.622221168886572"/>
    <n v="3.3"/>
    <n v="7.7"/>
    <n v="45.3"/>
    <n v="2.6"/>
    <n v="576"/>
    <n v="378"/>
    <n v="12.9"/>
    <n v="12.9"/>
    <n v="61"/>
    <n v="12"/>
    <n v="12"/>
    <n v="36"/>
    <x v="4"/>
    <x v="8"/>
    <x v="7"/>
    <n v="0"/>
    <n v="76.928565765480059"/>
    <n v="38.9"/>
    <n v="38.9"/>
    <n v="285"/>
    <n v="17.399999999999999"/>
    <n v="17.100000000000001"/>
    <n v="98"/>
    <m/>
    <m/>
    <n v="0"/>
    <n v="103498"/>
    <n v="68629"/>
    <n v="63529"/>
    <n v="66599"/>
    <n v="64393"/>
    <n v="7099.08553260197"/>
    <n v="75117"/>
    <n v="70804"/>
    <n v="3935"/>
    <n v="0"/>
  </r>
  <r>
    <s v="גדרה"/>
    <s v="מועצה מקומית"/>
    <x v="1"/>
    <n v="7.1668704156479217"/>
    <n v="2.39"/>
    <n v="99.9"/>
    <n v="31437.541680756109"/>
    <n v="15233"/>
    <n v="16205"/>
    <n v="7.5"/>
    <n v="9.3000000000000007"/>
    <n v="10.3"/>
    <n v="10.8"/>
    <n v="11.734207010624086"/>
    <n v="17.424772568229532"/>
    <n v="18.894331700489854"/>
    <n v="3.2"/>
    <n v="10.9"/>
    <n v="34"/>
    <n v="5.2"/>
    <n v="819"/>
    <n v="563"/>
    <n v="53.1"/>
    <n v="30.3"/>
    <n v="153"/>
    <n v="39.799999999999997"/>
    <n v="37.6"/>
    <n v="189"/>
    <x v="5"/>
    <x v="0"/>
    <x v="0"/>
    <n v="0.1"/>
    <n v="72.431828568526896"/>
    <n v="17.2"/>
    <n v="15.5"/>
    <n v="80"/>
    <n v="31.7"/>
    <n v="30.8"/>
    <n v="168"/>
    <m/>
    <m/>
    <n v="0"/>
    <n v="22864"/>
    <n v="10282"/>
    <n v="9968"/>
    <n v="39333.613009663"/>
    <n v="91827"/>
    <n v="7624.6058092934336"/>
    <n v="21215"/>
    <n v="19555"/>
    <n v="1496"/>
    <n v="0"/>
  </r>
  <r>
    <s v="גן יבנה"/>
    <s v="מועצה מקומית"/>
    <x v="1"/>
    <n v="13.014119091467158"/>
    <n v="28.2"/>
    <n v="98.5"/>
    <n v="24574.109175631125"/>
    <n v="12448"/>
    <n v="12127"/>
    <n v="5.9"/>
    <n v="8.1"/>
    <n v="9.8000000000000007"/>
    <n v="10.4"/>
    <n v="15.565231545535932"/>
    <n v="15.219337511190689"/>
    <n v="21.70993733213966"/>
    <n v="4.5999999999999996"/>
    <n v="8.6999999999999993"/>
    <n v="30.1"/>
    <n v="3.1"/>
    <n v="50"/>
    <n v="533"/>
    <n v="66.8"/>
    <n v="53.3"/>
    <n v="254"/>
    <n v="12.4"/>
    <n v="12.2"/>
    <n v="48"/>
    <x v="5"/>
    <x v="5"/>
    <x v="8"/>
    <n v="1.7"/>
    <n v="73.973945123357154"/>
    <n v="50.6"/>
    <n v="23.4"/>
    <n v="112"/>
    <n v="20.100000000000001"/>
    <n v="19.600000000000001"/>
    <n v="102"/>
    <m/>
    <m/>
    <n v="0"/>
    <n v="6978"/>
    <n v="4522"/>
    <n v="2945"/>
    <n v="4191.9530000000004"/>
    <n v="15578"/>
    <n v="7010.5743278787877"/>
    <n v="6293.2349000000004"/>
    <n v="3709.953"/>
    <n v="914.08900000000006"/>
    <n v="932.64400000000001"/>
  </r>
  <r>
    <s v="גני תקווה"/>
    <s v="מועצה מקומית"/>
    <x v="1"/>
    <n v="12.395992528442859"/>
    <n v="28.68"/>
    <n v="99.9"/>
    <n v="23646.003309735275"/>
    <n v="11466"/>
    <n v="12180"/>
    <n v="8.4"/>
    <n v="10.199999999999999"/>
    <n v="9.3000000000000007"/>
    <n v="7.7"/>
    <n v="9.2996701344836339"/>
    <n v="18.163748625560348"/>
    <n v="17.588598494459951"/>
    <n v="3.7"/>
    <n v="15.7"/>
    <n v="32.700000000000003"/>
    <n v="7.1"/>
    <n v="739"/>
    <n v="429"/>
    <n v="7.3"/>
    <n v="7.3"/>
    <n v="28"/>
    <n v="56.5"/>
    <n v="53.1"/>
    <n v="241"/>
    <x v="7"/>
    <x v="2"/>
    <x v="3"/>
    <n v="0"/>
    <n v="75.795988811521752"/>
    <n v="79.2"/>
    <n v="79.2"/>
    <n v="348"/>
    <n v="94.1"/>
    <n v="93.8"/>
    <n v="396"/>
    <m/>
    <m/>
    <n v="0"/>
    <n v="30406"/>
    <n v="19434"/>
    <n v="13546"/>
    <n v="46626"/>
    <n v="65171"/>
    <n v="7590.3629556591104"/>
    <n v="35228"/>
    <n v="23742"/>
    <n v="3806"/>
    <n v="987"/>
  </r>
  <r>
    <s v="דאלית אל-כרמל"/>
    <s v="מועצה מקומית"/>
    <x v="0"/>
    <n v="14.300648128789462"/>
    <n v="17.649999999999999"/>
    <n v="99.6"/>
    <n v="18190.205390415023"/>
    <n v="9240"/>
    <n v="8950"/>
    <n v="7.3"/>
    <n v="7.6"/>
    <n v="7.7"/>
    <n v="7.9"/>
    <n v="15.046728971962617"/>
    <n v="21.781198460692689"/>
    <n v="19.169873556899393"/>
    <n v="4.7"/>
    <n v="8.9"/>
    <n v="27.2"/>
    <n v="2.9"/>
    <n v="-2"/>
    <n v="446"/>
    <n v="11"/>
    <n v="11"/>
    <n v="57"/>
    <n v="7.3"/>
    <n v="7.1"/>
    <n v="37"/>
    <x v="2"/>
    <x v="2"/>
    <x v="9"/>
    <n v="0.2"/>
    <n v="55.075854781492936"/>
    <n v="13.6"/>
    <n v="13.4"/>
    <n v="59"/>
    <n v="8.1999999999999993"/>
    <n v="7.8"/>
    <n v="37"/>
    <m/>
    <m/>
    <n v="36200"/>
    <n v="44588"/>
    <n v="27705"/>
    <n v="21506"/>
    <n v="30255"/>
    <n v="77846"/>
    <n v="9141.018280509159"/>
    <n v="38068"/>
    <n v="30997"/>
    <n v="5495"/>
    <n v="102"/>
  </r>
  <r>
    <s v="דבורייה"/>
    <s v="מועצה מקומית"/>
    <x v="0"/>
    <n v="14.90125673249551"/>
    <n v="20.28"/>
    <n v="99.8"/>
    <n v="10831.00783200624"/>
    <n v="5541"/>
    <n v="5290"/>
    <n v="8.8000000000000007"/>
    <n v="9"/>
    <n v="8.6999999999999993"/>
    <n v="9.6999999999999993"/>
    <n v="17.717662265718769"/>
    <n v="18.031576031760686"/>
    <n v="16.859015788015881"/>
    <n v="3.8"/>
    <n v="7.4"/>
    <n v="32.1"/>
    <n v="2.9"/>
    <n v="-53"/>
    <n v="160"/>
    <n v="9.6999999999999993"/>
    <n v="8.8000000000000007"/>
    <n v="26"/>
    <n v="52.6"/>
    <n v="7.1"/>
    <n v="27"/>
    <x v="4"/>
    <x v="4"/>
    <x v="9"/>
    <n v="0.4"/>
    <n v="56.366791243993596"/>
    <n v="10.5"/>
    <n v="7.9"/>
    <n v="39"/>
    <n v="10.5"/>
    <n v="10.5"/>
    <n v="53"/>
    <m/>
    <m/>
    <n v="0"/>
    <n v="17122"/>
    <n v="9483"/>
    <n v="7801"/>
    <n v="11976.034"/>
    <n v="61210"/>
    <n v="7257.773350297648"/>
    <n v="14080.832"/>
    <n v="12492.034"/>
    <n v="1216.327"/>
    <n v="7.7859999999999996"/>
  </r>
  <r>
    <s v="דייר אל-אסד"/>
    <s v="מועצה מקומית"/>
    <x v="0"/>
    <n v="14.161073825503356"/>
    <n v="16.34"/>
    <n v="100"/>
    <n v="13078.114224831355"/>
    <n v="6706"/>
    <n v="6372"/>
    <n v="8.8000000000000007"/>
    <n v="9.5"/>
    <n v="9.4"/>
    <n v="10.3"/>
    <n v="18.34378345312739"/>
    <n v="19.513687108120507"/>
    <n v="15.0787582199113"/>
    <n v="3.3"/>
    <n v="5.8"/>
    <n v="33.700000000000003"/>
    <n v="2"/>
    <n v="-30"/>
    <n v="233"/>
    <n v="8.4"/>
    <n v="5.6"/>
    <n v="19"/>
    <n v="14"/>
    <n v="6.4"/>
    <n v="28"/>
    <x v="4"/>
    <x v="4"/>
    <x v="9"/>
    <n v="0"/>
    <n v="69.807280513918641"/>
    <n v="4.9000000000000004"/>
    <n v="4.9000000000000004"/>
    <n v="22"/>
    <n v="4.3"/>
    <n v="4.0999999999999996"/>
    <n v="20"/>
    <m/>
    <m/>
    <n v="0"/>
    <n v="18659"/>
    <n v="9574"/>
    <n v="8075"/>
    <n v="18829.314999999999"/>
    <n v="66050"/>
    <n v="6520.6648706342585"/>
    <n v="13887.4"/>
    <n v="12106"/>
    <n v="1340"/>
    <n v="0"/>
  </r>
  <r>
    <s v="דייר חנא"/>
    <s v="מועצה מקומית"/>
    <x v="0"/>
    <n v="11.335432487497684"/>
    <n v="18.22"/>
    <n v="99.9"/>
    <n v="10747.488061553009"/>
    <n v="5413"/>
    <n v="5335"/>
    <n v="7.6"/>
    <n v="8.5"/>
    <n v="8.6999999999999993"/>
    <n v="8.9"/>
    <n v="18.200428026425978"/>
    <n v="20.452219223969482"/>
    <n v="16.720945380106077"/>
    <n v="3.9"/>
    <n v="7"/>
    <n v="30"/>
    <n v="2.7"/>
    <n v="-7"/>
    <n v="321"/>
    <n v="22.9"/>
    <n v="21.9"/>
    <n v="119"/>
    <n v="7.3"/>
    <n v="5.8"/>
    <n v="26"/>
    <x v="4"/>
    <x v="4"/>
    <x v="1"/>
    <n v="0"/>
    <n v="67.766692248656952"/>
    <n v="16.7"/>
    <n v="16.2"/>
    <n v="78"/>
    <n v="14.3"/>
    <n v="14"/>
    <n v="70"/>
    <m/>
    <m/>
    <n v="0"/>
    <n v="20544"/>
    <n v="11387"/>
    <n v="8947"/>
    <n v="13421.164000000001"/>
    <n v="55400"/>
    <n v="7184.7486182591792"/>
    <n v="18913.201000000001"/>
    <n v="15443.164000000001"/>
    <n v="2593.6770000000001"/>
    <n v="0"/>
  </r>
  <r>
    <s v="הר אדר"/>
    <s v="מועצה מקומית"/>
    <x v="1"/>
    <n v="14.7119341563786"/>
    <n v="59.35"/>
    <s v="-"/>
    <n v="4065.1106747004169"/>
    <n v="2063"/>
    <n v="2002"/>
    <n v="4.3"/>
    <n v="6.8"/>
    <n v="10.7"/>
    <n v="10.4"/>
    <n v="14.587945879458793"/>
    <n v="12.201722017220172"/>
    <n v="23.714637146371466"/>
    <n v="4.0999999999999996"/>
    <n v="13.2"/>
    <n v="28.4"/>
    <n v="5.0999999999999996"/>
    <n v="-81"/>
    <n v="65"/>
    <n v="1"/>
    <n v="0.7"/>
    <s v="-"/>
    <n v="1.6"/>
    <n v="1.6"/>
    <n v="2"/>
    <x v="7"/>
    <x v="8"/>
    <x v="3"/>
    <n v="0"/>
    <n v="74.315391879131255"/>
    <n v="13.1"/>
    <n v="13.1"/>
    <n v="46"/>
    <n v="7.5"/>
    <n v="7.5"/>
    <n v="28"/>
    <m/>
    <m/>
    <n v="1610"/>
    <n v="23135"/>
    <n v="14562"/>
    <n v="14128"/>
    <n v="14977.21"/>
    <n v="6884"/>
    <n v="7606.1889759689466"/>
    <n v="14883.349759999999"/>
    <n v="14389.21"/>
    <n v="136.15899999999999"/>
    <n v="25.914000000000001"/>
  </r>
  <r>
    <s v="זכרון יעקב"/>
    <s v="מועצה מקומית"/>
    <x v="1"/>
    <n v="12.15049727903922"/>
    <n v="53.32"/>
    <s v="-"/>
    <n v="24144.958875663629"/>
    <n v="11808"/>
    <n v="12337"/>
    <n v="6.4"/>
    <n v="8.1999999999999993"/>
    <n v="9.6"/>
    <n v="9.1999999999999993"/>
    <n v="12.938496583143507"/>
    <n v="14.653137295506315"/>
    <n v="20.020708221163801"/>
    <n v="5.5"/>
    <n v="13.4"/>
    <n v="29.9"/>
    <n v="5.2"/>
    <n v="160"/>
    <n v="437"/>
    <n v="32.1"/>
    <n v="31"/>
    <n v="159"/>
    <n v="34.299999999999997"/>
    <n v="28.7"/>
    <n v="157"/>
    <x v="6"/>
    <x v="7"/>
    <x v="0"/>
    <n v="0.3"/>
    <n v="71.216948963049916"/>
    <n v="38.799999999999997"/>
    <n v="36.5"/>
    <n v="218"/>
    <n v="19.399999999999999"/>
    <n v="15.5"/>
    <n v="67"/>
    <m/>
    <m/>
    <n v="0"/>
    <n v="122741"/>
    <n v="89234"/>
    <n v="60901"/>
    <n v="67833"/>
    <n v="81798"/>
    <n v="8176.5722201742119"/>
    <n v="100226"/>
    <n v="69855"/>
    <n v="11311.4"/>
    <n v="0"/>
  </r>
  <r>
    <s v="זמר"/>
    <s v="מועצה מקומית"/>
    <x v="0"/>
    <n v="13.864921154418328"/>
    <n v="16.190000000000001"/>
    <n v="99.9"/>
    <n v="7457.0045482078513"/>
    <n v="3777"/>
    <n v="3680"/>
    <n v="9.9"/>
    <n v="10.3"/>
    <n v="9.3000000000000007"/>
    <n v="8.6999999999999993"/>
    <n v="17.151669572214026"/>
    <n v="19.190022797371597"/>
    <n v="14.737830226632695"/>
    <n v="3.9"/>
    <n v="6.8"/>
    <n v="34.5"/>
    <n v="2.4"/>
    <n v="-13"/>
    <n v="114"/>
    <n v="7.1"/>
    <n v="7.1"/>
    <n v="30"/>
    <n v="5.5"/>
    <n v="5.5"/>
    <n v="20"/>
    <x v="4"/>
    <x v="4"/>
    <x v="3"/>
    <n v="1"/>
    <n v="56.470821754664549"/>
    <n v="11.2"/>
    <n v="9.9"/>
    <n v="49"/>
    <n v="8.1"/>
    <n v="8.1"/>
    <n v="37"/>
    <m/>
    <m/>
    <n v="0"/>
    <n v="15232"/>
    <n v="10047"/>
    <n v="7659"/>
    <n v="20808.811000000002"/>
    <n v="29915"/>
    <n v="6358.7194688510381"/>
    <n v="13055.904"/>
    <n v="9841.8109999999997"/>
    <n v="829.11900000000003"/>
    <n v="1229.44"/>
  </r>
  <r>
    <s v="זרזיר"/>
    <s v="מועצה מקומית"/>
    <x v="0"/>
    <n v="9.5058941560070238"/>
    <n v="11.88"/>
    <n v="99.7"/>
    <n v="8564.6083292647563"/>
    <n v="4335"/>
    <n v="4229"/>
    <n v="10.199999999999999"/>
    <n v="10.7"/>
    <n v="10.3"/>
    <n v="9.6"/>
    <n v="18.10858143607706"/>
    <n v="19.579684763572679"/>
    <n v="14.127262113251604"/>
    <n v="2.6"/>
    <n v="4.9000000000000004"/>
    <n v="36.700000000000003"/>
    <n v="1.6"/>
    <n v="-13"/>
    <n v="158"/>
    <n v="7"/>
    <n v="5.6"/>
    <n v="20"/>
    <n v="4.7"/>
    <n v="4.5999999999999996"/>
    <n v="17"/>
    <x v="1"/>
    <x v="0"/>
    <x v="9"/>
    <n v="1.1000000000000001"/>
    <n v="44.392361111111114"/>
    <n v="8.6"/>
    <n v="8.4"/>
    <n v="59"/>
    <n v="12.2"/>
    <n v="12.2"/>
    <n v="77"/>
    <m/>
    <m/>
    <n v="0"/>
    <n v="12433"/>
    <n v="6838"/>
    <n v="5170"/>
    <n v="10132.242099999999"/>
    <n v="38138"/>
    <n v="5897.5259647788371"/>
    <n v="10342.635399999999"/>
    <n v="8965.2420999999995"/>
    <n v="806.11090000000002"/>
    <n v="27.213000000000001"/>
  </r>
  <r>
    <s v="חורה"/>
    <s v="מועצה מקומית"/>
    <x v="0"/>
    <n v="13.796196627197704"/>
    <n v="11.96"/>
    <n v="99.9"/>
    <n v="24821.860551527545"/>
    <n v="12534"/>
    <n v="12288"/>
    <n v="18.3"/>
    <n v="15.3"/>
    <n v="13.4"/>
    <n v="11.9"/>
    <n v="17.125936669083877"/>
    <n v="13.653210861332688"/>
    <n v="7.2717750382725006"/>
    <n v="1.1000000000000001"/>
    <n v="2"/>
    <n v="54"/>
    <n v="0.7"/>
    <n v="87"/>
    <n v="198"/>
    <n v="40"/>
    <n v="31.7"/>
    <n v="133"/>
    <n v="28.1"/>
    <n v="27.9"/>
    <n v="113"/>
    <x v="8"/>
    <x v="6"/>
    <x v="1"/>
    <n v="0"/>
    <n v="49.037021185533916"/>
    <n v="9.1999999999999993"/>
    <n v="8.6999999999999993"/>
    <n v="36"/>
    <n v="22.8"/>
    <n v="6.8"/>
    <n v="30"/>
    <m/>
    <m/>
    <n v="0"/>
    <n v="22328"/>
    <n v="6106"/>
    <n v="5019"/>
    <n v="8938.0630000000001"/>
    <n v="156081"/>
    <n v="6961.4443140268977"/>
    <n v="13000.786"/>
    <n v="11159.063"/>
    <n v="926.62300000000005"/>
    <n v="88.132000000000005"/>
  </r>
  <r>
    <s v="חורפיש"/>
    <s v="מועצה מקומית"/>
    <x v="0"/>
    <n v="23.965721040189123"/>
    <n v="26.92"/>
    <n v="100"/>
    <n v="6639.1186041266237"/>
    <n v="3350"/>
    <n v="3289"/>
    <n v="8.3000000000000007"/>
    <n v="8.5"/>
    <n v="8.4"/>
    <n v="8.6"/>
    <n v="17.156198222623889"/>
    <n v="21.705076065672539"/>
    <n v="16.734447959029975"/>
    <n v="3.6"/>
    <n v="7"/>
    <n v="30.2"/>
    <n v="2.5"/>
    <n v="-1"/>
    <n v="104"/>
    <n v="20.8"/>
    <n v="17.7"/>
    <n v="72"/>
    <n v="7.7"/>
    <n v="7.1"/>
    <n v="32"/>
    <x v="2"/>
    <x v="2"/>
    <x v="8"/>
    <n v="0.2"/>
    <n v="53.473945409429277"/>
    <n v="5.8"/>
    <n v="4.5999999999999996"/>
    <n v="23"/>
    <n v="11.4"/>
    <n v="8.3000000000000007"/>
    <n v="38"/>
    <m/>
    <m/>
    <n v="0"/>
    <n v="15950"/>
    <n v="8007"/>
    <n v="6509"/>
    <n v="15031"/>
    <n v="46407"/>
    <n v="9391.4574686532924"/>
    <n v="11387"/>
    <n v="9402"/>
    <n v="1203"/>
    <n v="163"/>
  </r>
  <r>
    <s v="חצור הגלילית"/>
    <s v="מועצה מקומית"/>
    <x v="1"/>
    <n v="11.695531323497969"/>
    <n v="17.079999999999998"/>
    <s v="-"/>
    <n v="10046.790259794512"/>
    <n v="5130"/>
    <n v="4917"/>
    <n v="11.3"/>
    <n v="9.8000000000000007"/>
    <n v="8.3000000000000007"/>
    <n v="8.1999999999999993"/>
    <n v="15.148800637006071"/>
    <n v="17.199163929531203"/>
    <n v="13.466706479546135"/>
    <n v="5"/>
    <n v="11.6"/>
    <n v="34"/>
    <n v="4.0999999999999996"/>
    <n v="102"/>
    <n v="313"/>
    <n v="8.6"/>
    <n v="2.7"/>
    <n v="15"/>
    <n v="12.3"/>
    <n v="12.1"/>
    <n v="88"/>
    <x v="4"/>
    <x v="4"/>
    <x v="8"/>
    <n v="5.4"/>
    <n v="70.632268413313724"/>
    <n v="12"/>
    <n v="11.9"/>
    <n v="78"/>
    <n v="11.3"/>
    <n v="8.6999999999999993"/>
    <n v="64"/>
    <m/>
    <m/>
    <n v="0"/>
    <n v="44197"/>
    <n v="24735"/>
    <n v="12757"/>
    <n v="13226.7"/>
    <n v="49916"/>
    <n v="9356.0229256664661"/>
    <n v="30416.267"/>
    <n v="17548.7"/>
    <n v="6026.1769999999997"/>
    <n v="2574.2800000000002"/>
  </r>
  <r>
    <s v="טובא-זנגרייה"/>
    <s v="מועצה מקומית"/>
    <x v="0"/>
    <n v="8.1178592904389646"/>
    <n v="8.58"/>
    <n v="99.9"/>
    <n v="7094.8307393250034"/>
    <n v="3541"/>
    <n v="3554"/>
    <n v="10.3"/>
    <n v="10.199999999999999"/>
    <n v="8.5"/>
    <n v="9.3000000000000007"/>
    <n v="17.899929527836505"/>
    <n v="20.591966173361524"/>
    <n v="15.17970401691332"/>
    <n v="3.2"/>
    <n v="4.9000000000000004"/>
    <n v="34.5"/>
    <n v="1.6"/>
    <n v="-12"/>
    <n v="184"/>
    <n v="4"/>
    <n v="4"/>
    <n v="17"/>
    <n v="3.1"/>
    <n v="2.6"/>
    <n v="13"/>
    <x v="1"/>
    <x v="1"/>
    <x v="8"/>
    <n v="0"/>
    <n v="43.939077821823489"/>
    <n v="8.9"/>
    <n v="8.9"/>
    <n v="47"/>
    <n v="4.5"/>
    <n v="4.5"/>
    <n v="20"/>
    <m/>
    <m/>
    <n v="0"/>
    <n v="11327"/>
    <n v="4425"/>
    <n v="4164"/>
    <n v="14948"/>
    <n v="36036"/>
    <n v="7528.4389384998458"/>
    <n v="9061"/>
    <n v="8686"/>
    <n v="326"/>
    <n v="45"/>
  </r>
  <r>
    <s v="טורעאן"/>
    <s v="מועצה מקומית"/>
    <x v="0"/>
    <n v="12.426210153482881"/>
    <n v="17.64"/>
    <n v="100"/>
    <n v="14808.977952555804"/>
    <n v="7604"/>
    <n v="7205"/>
    <n v="8.9"/>
    <n v="9.5"/>
    <n v="9.8000000000000007"/>
    <n v="9.8000000000000007"/>
    <n v="18.238908771692888"/>
    <n v="18.799378756161794"/>
    <n v="15.389290296441352"/>
    <n v="3.4"/>
    <n v="6.3"/>
    <n v="34"/>
    <n v="2.2000000000000002"/>
    <n v="-16"/>
    <n v="180"/>
    <n v="20.100000000000001"/>
    <n v="20"/>
    <n v="93"/>
    <n v="5.8"/>
    <n v="5.8"/>
    <n v="26"/>
    <x v="1"/>
    <x v="1"/>
    <x v="1"/>
    <n v="0.2"/>
    <n v="49.4807635248739"/>
    <n v="16.5"/>
    <n v="14.9"/>
    <n v="76"/>
    <n v="23.5"/>
    <n v="21"/>
    <n v="99"/>
    <m/>
    <m/>
    <n v="0"/>
    <n v="33027"/>
    <n v="17730"/>
    <n v="9281"/>
    <n v="19049.578600000001"/>
    <n v="57985"/>
    <n v="5995.1470171969277"/>
    <n v="23687.576000000001"/>
    <n v="17003.099999999999"/>
    <n v="1576.7159999999999"/>
    <n v="413.84"/>
  </r>
  <r>
    <s v="יאנוח-ג'ת"/>
    <s v="מועצה מקומית"/>
    <x v="0"/>
    <n v="17.298235464275383"/>
    <n v="18.399999999999999"/>
    <n v="100"/>
    <n v="6930.0964508216439"/>
    <n v="3487"/>
    <n v="3443"/>
    <n v="8.4"/>
    <n v="8.4"/>
    <n v="8.6"/>
    <n v="9.4"/>
    <n v="17.720057720057721"/>
    <n v="22.020202020202021"/>
    <n v="16.075036075036074"/>
    <n v="3.5"/>
    <n v="6"/>
    <n v="31.2"/>
    <n v="2.1"/>
    <n v="-2"/>
    <n v="117"/>
    <n v="10.8"/>
    <n v="10.8"/>
    <n v="38"/>
    <n v="5"/>
    <n v="4.3"/>
    <n v="16"/>
    <x v="4"/>
    <x v="2"/>
    <x v="1"/>
    <n v="0"/>
    <n v="39.541606442287836"/>
    <n v="8.1"/>
    <n v="7.6"/>
    <n v="33"/>
    <n v="8.5"/>
    <n v="8.5"/>
    <n v="38"/>
    <m/>
    <m/>
    <n v="0"/>
    <n v="12813"/>
    <n v="7299"/>
    <n v="6602"/>
    <n v="12621"/>
    <n v="35021"/>
    <n v="7058.1990232185981"/>
    <n v="10237"/>
    <n v="9020"/>
    <n v="920"/>
    <n v="0"/>
  </r>
  <r>
    <s v="יבנאל"/>
    <s v="מועצה מקומית"/>
    <x v="1"/>
    <n v="12.974296205630356"/>
    <n v="18.61"/>
    <s v="-"/>
    <n v="4542.106396364632"/>
    <n v="2285"/>
    <n v="2257"/>
    <n v="11.2"/>
    <n v="13.3"/>
    <n v="12.7"/>
    <n v="9.9"/>
    <n v="12.439453985028621"/>
    <n v="15.235579040070455"/>
    <n v="12.131219726992516"/>
    <n v="3.7"/>
    <n v="9.5"/>
    <n v="42.8"/>
    <n v="4.0999999999999996"/>
    <n v="-5"/>
    <n v="90"/>
    <n v="5.9"/>
    <n v="5.4"/>
    <n v="19"/>
    <n v="1.6"/>
    <n v="1.2"/>
    <n v="5"/>
    <x v="0"/>
    <x v="0"/>
    <x v="1"/>
    <n v="0"/>
    <n v="70.025839793281648"/>
    <n v="8.6"/>
    <n v="8.6"/>
    <n v="38"/>
    <n v="6.4"/>
    <n v="6"/>
    <n v="29"/>
    <m/>
    <m/>
    <n v="0"/>
    <n v="13575"/>
    <n v="9147"/>
    <n v="7242"/>
    <n v="9442.81"/>
    <n v="23926"/>
    <n v="8247.7152076365892"/>
    <n v="11829.92"/>
    <n v="9618.81"/>
    <n v="901.43"/>
    <n v="218.53"/>
  </r>
  <r>
    <s v="יסוד המעלה"/>
    <s v="מועצה מקומית"/>
    <x v="1"/>
    <n v="17.769607843137255"/>
    <n v="47.17"/>
    <s v="-"/>
    <n v="1797.6759709692119"/>
    <n v="892"/>
    <n v="905"/>
    <n v="6.8"/>
    <n v="7.3"/>
    <n v="7.3"/>
    <n v="8.8000000000000007"/>
    <n v="14.238042269187986"/>
    <n v="16.740823136818687"/>
    <n v="19.632925472747498"/>
    <n v="5.3"/>
    <n v="13.8"/>
    <n v="27"/>
    <n v="6.1"/>
    <n v="-17"/>
    <n v="47"/>
    <n v="1.5"/>
    <n v="1.4"/>
    <n v="7"/>
    <n v="1.6"/>
    <n v="0.9"/>
    <n v="4"/>
    <x v="5"/>
    <x v="5"/>
    <x v="4"/>
    <n v="0.1"/>
    <n v="66.320474777448069"/>
    <n v="2"/>
    <n v="2"/>
    <n v="9"/>
    <n v="2.2999999999999998"/>
    <n v="2.1"/>
    <n v="9"/>
    <m/>
    <m/>
    <n v="0"/>
    <n v="10281"/>
    <n v="6965"/>
    <n v="4234"/>
    <n v="4398"/>
    <n v="5426"/>
    <n v="8769.6560751715151"/>
    <n v="7418"/>
    <n v="4589"/>
    <n v="1262"/>
    <n v="312"/>
  </r>
  <r>
    <s v="יפיע"/>
    <s v="מועצה מקומית"/>
    <x v="0"/>
    <n v="13.875039779357165"/>
    <n v="14.49"/>
    <n v="100"/>
    <n v="19704.128489362211"/>
    <n v="9980"/>
    <n v="9724"/>
    <n v="8.1999999999999993"/>
    <n v="8.9"/>
    <n v="9.1"/>
    <n v="9.1999999999999993"/>
    <n v="18.305927730410069"/>
    <n v="19.046894031668696"/>
    <n v="16.539788875355256"/>
    <n v="3.8"/>
    <n v="6.9"/>
    <n v="31.5"/>
    <n v="2.5"/>
    <n v="-71"/>
    <n v="339"/>
    <n v="38.1"/>
    <n v="37.4"/>
    <n v="156"/>
    <n v="20"/>
    <n v="16.899999999999999"/>
    <n v="78"/>
    <x v="1"/>
    <x v="1"/>
    <x v="0"/>
    <n v="0.2"/>
    <n v="49.458874458874455"/>
    <n v="17.2"/>
    <n v="16.5"/>
    <n v="80"/>
    <n v="26"/>
    <n v="21.3"/>
    <n v="100"/>
    <m/>
    <m/>
    <n v="0"/>
    <n v="30275"/>
    <n v="15730"/>
    <n v="11314"/>
    <n v="30738"/>
    <n v="99455"/>
    <n v="7064.3571003482411"/>
    <n v="28085"/>
    <n v="23114"/>
    <n v="3015"/>
    <n v="0"/>
  </r>
  <r>
    <s v="ירוחם"/>
    <s v="מועצה מקומית"/>
    <x v="1"/>
    <n v="15.964214711729621"/>
    <n v="26.36"/>
    <s v="-"/>
    <n v="11169.911314599456"/>
    <n v="5889"/>
    <n v="5281"/>
    <n v="10"/>
    <n v="10.5"/>
    <n v="9.1"/>
    <n v="9.1"/>
    <n v="16.034019695613249"/>
    <n v="18.451208594449415"/>
    <n v="13.598925693822739"/>
    <n v="3.9"/>
    <n v="9.1999999999999993"/>
    <n v="35.299999999999997"/>
    <n v="3.5"/>
    <n v="-24"/>
    <n v="441"/>
    <n v="11.8"/>
    <n v="9.5"/>
    <n v="44"/>
    <n v="14.4"/>
    <n v="7.7"/>
    <n v="39"/>
    <x v="4"/>
    <x v="4"/>
    <x v="8"/>
    <n v="0.9"/>
    <n v="66.098460755629048"/>
    <n v="18.5"/>
    <n v="17.5"/>
    <n v="104"/>
    <n v="11.3"/>
    <n v="10.3"/>
    <n v="56"/>
    <m/>
    <m/>
    <n v="0"/>
    <n v="44984"/>
    <n v="29380"/>
    <n v="10789"/>
    <n v="15230"/>
    <n v="63533"/>
    <n v="9719.6832581918443"/>
    <n v="32752"/>
    <n v="14555"/>
    <n v="2241"/>
    <n v="11732"/>
  </r>
  <r>
    <s v="ירכא"/>
    <s v="מועצה מקומית"/>
    <x v="0"/>
    <n v="14.835716077251066"/>
    <n v="14.26"/>
    <n v="99.6"/>
    <n v="17759.46874564785"/>
    <n v="9170"/>
    <n v="8589"/>
    <n v="8.3000000000000007"/>
    <n v="8.5"/>
    <n v="9.1"/>
    <n v="9.5"/>
    <n v="18.266794301480939"/>
    <n v="20.947125401205021"/>
    <n v="15.366856241905513"/>
    <n v="3.6"/>
    <n v="6.4"/>
    <n v="31.6"/>
    <n v="2.2999999999999998"/>
    <n v="-9"/>
    <n v="318"/>
    <n v="15.2"/>
    <n v="12"/>
    <n v="49"/>
    <n v="41.8"/>
    <n v="16.7"/>
    <n v="65"/>
    <x v="1"/>
    <x v="1"/>
    <x v="1"/>
    <n v="1.8"/>
    <n v="51.137261789760259"/>
    <n v="19.8"/>
    <n v="17.600000000000001"/>
    <n v="68"/>
    <n v="21.7"/>
    <n v="7.5"/>
    <n v="32"/>
    <m/>
    <m/>
    <n v="0"/>
    <n v="43799"/>
    <n v="26620"/>
    <n v="13706"/>
    <n v="20151.400000000001"/>
    <n v="77033"/>
    <n v="6803.4129697494172"/>
    <n v="36522.076000000001"/>
    <n v="20407.400000000001"/>
    <n v="12014.9"/>
    <n v="346.29"/>
  </r>
  <r>
    <s v="כאבול"/>
    <s v="מועצה מקומית"/>
    <x v="0"/>
    <n v="14.459234608985025"/>
    <n v="17.68"/>
    <n v="99.9"/>
    <n v="14627.895359852748"/>
    <n v="7394"/>
    <n v="7234"/>
    <n v="9"/>
    <n v="9.6999999999999993"/>
    <n v="9.8000000000000007"/>
    <n v="9.9"/>
    <n v="17.698933552091876"/>
    <n v="19.54470877768663"/>
    <n v="16.003554826360407"/>
    <n v="3.1"/>
    <n v="5.2"/>
    <n v="34.4"/>
    <n v="1.9"/>
    <n v="27"/>
    <n v="216"/>
    <n v="8.1"/>
    <n v="8.1"/>
    <n v="49"/>
    <n v="6.2"/>
    <n v="6.2"/>
    <n v="31"/>
    <x v="1"/>
    <x v="1"/>
    <x v="9"/>
    <n v="0.8"/>
    <n v="70.530565167243367"/>
    <n v="19.899999999999999"/>
    <n v="18.3"/>
    <n v="98"/>
    <n v="22.2"/>
    <n v="20.100000000000001"/>
    <n v="95"/>
    <m/>
    <m/>
    <n v="0"/>
    <n v="25857"/>
    <n v="16815"/>
    <n v="13620"/>
    <n v="15260.0918"/>
    <n v="69996"/>
    <n v="6570.8017206494133"/>
    <n v="24358.5648"/>
    <n v="19744.091799999998"/>
    <n v="1604.6137000000001"/>
    <n v="38.152900000000002"/>
  </r>
  <r>
    <s v="כאוכב אבו אל-היג'א"/>
    <s v="מועצה מקומית"/>
    <x v="0"/>
    <n v="10.313662945241893"/>
    <n v="24.51"/>
    <n v="99.9"/>
    <n v="3772.6263160970484"/>
    <n v="1880"/>
    <n v="1893"/>
    <n v="8.3000000000000007"/>
    <n v="9.3000000000000007"/>
    <n v="9.5"/>
    <n v="9.1999999999999993"/>
    <n v="16.167505963424329"/>
    <n v="19.931089318844421"/>
    <n v="17.492711370262391"/>
    <n v="3"/>
    <n v="7.1"/>
    <n v="32.5"/>
    <n v="3"/>
    <n v="7"/>
    <n v="102"/>
    <n v="6"/>
    <n v="6"/>
    <n v="24"/>
    <n v="2.8"/>
    <n v="2.7"/>
    <n v="13"/>
    <x v="2"/>
    <x v="4"/>
    <x v="9"/>
    <n v="0"/>
    <n v="61.37660485021398"/>
    <n v="7.8"/>
    <n v="6.7"/>
    <n v="29"/>
    <n v="5.7"/>
    <n v="4.5999999999999996"/>
    <n v="19"/>
    <m/>
    <m/>
    <n v="0"/>
    <n v="6417"/>
    <n v="3309"/>
    <n v="3063"/>
    <n v="4977"/>
    <n v="32690"/>
    <n v="10516.28141136558"/>
    <n v="4091"/>
    <n v="3928"/>
    <n v="140"/>
    <n v="0"/>
  </r>
  <r>
    <s v="כוכב יאיר"/>
    <s v="מועצה מקומית"/>
    <x v="1"/>
    <n v="16.320855614973262"/>
    <n v="67.180000000000007"/>
    <s v="-"/>
    <n v="8976.544152958144"/>
    <n v="4529"/>
    <n v="4447"/>
    <n v="5.4"/>
    <n v="7.9"/>
    <n v="8"/>
    <n v="7.8"/>
    <n v="13.824217444580594"/>
    <n v="14.058148601982845"/>
    <n v="20.741895956332851"/>
    <n v="7.3"/>
    <n v="15"/>
    <n v="26.1"/>
    <n v="4"/>
    <n v="-15"/>
    <n v="77"/>
    <n v="4.0999999999999996"/>
    <n v="3.4"/>
    <n v="10"/>
    <n v="6"/>
    <n v="6"/>
    <n v="21"/>
    <x v="7"/>
    <x v="9"/>
    <x v="3"/>
    <n v="4.9000000000000004"/>
    <n v="72.985055562651681"/>
    <n v="3.7"/>
    <n v="3.6"/>
    <n v="11"/>
    <n v="4"/>
    <n v="4"/>
    <n v="14"/>
    <m/>
    <m/>
    <n v="0"/>
    <n v="51711"/>
    <n v="42284"/>
    <n v="29096"/>
    <n v="30361"/>
    <n v="21202"/>
    <n v="7951.8352256394046"/>
    <n v="44476"/>
    <n v="31005"/>
    <n v="6754"/>
    <n v="5347"/>
  </r>
  <r>
    <s v="כסיפה"/>
    <s v="מועצה מקומית"/>
    <x v="0"/>
    <n v="12.812812812812812"/>
    <n v="13.89"/>
    <n v="99.9"/>
    <n v="23989.77442701094"/>
    <n v="12034"/>
    <n v="11956"/>
    <n v="17.5"/>
    <n v="14.4"/>
    <n v="13"/>
    <n v="11.3"/>
    <n v="17.507294706127553"/>
    <n v="14.76865360566903"/>
    <n v="7.9366402667778235"/>
    <n v="1.3"/>
    <n v="2.2000000000000002"/>
    <n v="51.8"/>
    <n v="0.7"/>
    <n v="4"/>
    <n v="252"/>
    <n v="35.299999999999997"/>
    <n v="35.299999999999997"/>
    <n v="131"/>
    <n v="16.2"/>
    <n v="14.8"/>
    <n v="62"/>
    <x v="8"/>
    <x v="6"/>
    <x v="8"/>
    <n v="0"/>
    <n v="55.611390284757121"/>
    <n v="3.8"/>
    <n v="3.8"/>
    <n v="20"/>
    <n v="4"/>
    <n v="4"/>
    <n v="23"/>
    <m/>
    <m/>
    <n v="0"/>
    <n v="17208"/>
    <n v="2402"/>
    <n v="1989"/>
    <n v="12635.04"/>
    <n v="77614"/>
    <n v="4021.2133004211682"/>
    <n v="9532.1946000000007"/>
    <n v="8639.64"/>
    <n v="792.58"/>
    <n v="0"/>
  </r>
  <r>
    <s v="כסרא-סמיע"/>
    <s v="מועצה מקומית"/>
    <x v="0"/>
    <n v="19.671746776084408"/>
    <n v="14.02"/>
    <n v="100"/>
    <n v="9223.2867716217715"/>
    <n v="4694"/>
    <n v="4530"/>
    <n v="9.6"/>
    <n v="9.8000000000000007"/>
    <n v="9.4"/>
    <n v="10"/>
    <n v="18.302070909682318"/>
    <n v="21.413856662691096"/>
    <n v="13.96508728179551"/>
    <n v="2.8"/>
    <n v="4.8"/>
    <n v="35"/>
    <n v="1.8"/>
    <n v="-19"/>
    <n v="178"/>
    <n v="20.399999999999999"/>
    <n v="14.6"/>
    <n v="51"/>
    <n v="20.8"/>
    <n v="12.2"/>
    <n v="43"/>
    <x v="1"/>
    <x v="1"/>
    <x v="1"/>
    <n v="0.1"/>
    <n v="32.294757665677551"/>
    <n v="11.8"/>
    <n v="11.3"/>
    <n v="48"/>
    <n v="13.5"/>
    <n v="11.9"/>
    <n v="52"/>
    <m/>
    <m/>
    <n v="0"/>
    <n v="17687"/>
    <n v="9750"/>
    <n v="8406"/>
    <n v="11289.689399999999"/>
    <n v="47446"/>
    <n v="6737.9586386938909"/>
    <n v="14712.5556"/>
    <n v="13049.5918"/>
    <n v="1007.0059"/>
    <n v="0"/>
  </r>
  <r>
    <s v="כעביה-טבאש-חג'אג'רה"/>
    <s v="מועצה מקומית"/>
    <x v="0"/>
    <n v="13.111111111111112"/>
    <n v="15.27"/>
    <n v="99.7"/>
    <n v="5878.2220949482426"/>
    <n v="2948"/>
    <n v="2930"/>
    <n v="10"/>
    <n v="10.4"/>
    <n v="9.6999999999999993"/>
    <n v="9.6"/>
    <n v="19.156175569921743"/>
    <n v="18.93501190881252"/>
    <n v="14.324600204151071"/>
    <n v="3.1"/>
    <n v="4.8"/>
    <n v="35.700000000000003"/>
    <n v="1.6"/>
    <n v="40"/>
    <n v="129"/>
    <n v="5"/>
    <n v="4.5"/>
    <n v="17"/>
    <n v="10.3"/>
    <n v="10.3"/>
    <n v="42"/>
    <x v="1"/>
    <x v="1"/>
    <x v="9"/>
    <n v="0"/>
    <n v="56.3549761845074"/>
    <n v="11.6"/>
    <n v="11.6"/>
    <n v="59"/>
    <n v="24.1"/>
    <n v="23.8"/>
    <n v="106"/>
    <m/>
    <m/>
    <n v="0"/>
    <n v="6190"/>
    <n v="1749"/>
    <n v="1675"/>
    <n v="9143.6877000000004"/>
    <n v="27022"/>
    <n v="6055.0621301955744"/>
    <n v="10461.4259"/>
    <n v="10251.6877"/>
    <n v="184.15"/>
    <n v="11.8904"/>
  </r>
  <r>
    <s v="כפר ברא"/>
    <s v="מועצה מקומית"/>
    <x v="0"/>
    <n v="14.015843997562463"/>
    <n v="19.88"/>
    <n v="99.9"/>
    <n v="3945.5445173887633"/>
    <n v="1968"/>
    <n v="1978"/>
    <n v="12"/>
    <n v="10.7"/>
    <n v="9.4"/>
    <n v="9.9"/>
    <n v="20.957932083122149"/>
    <n v="16.852508869741513"/>
    <n v="13.38063862138875"/>
    <n v="2.7"/>
    <n v="4.0999999999999996"/>
    <n v="37.799999999999997"/>
    <n v="1.5"/>
    <n v="-2"/>
    <n v="27"/>
    <n v="30.5"/>
    <n v="30.5"/>
    <n v="161"/>
    <n v="3.7"/>
    <n v="3.7"/>
    <n v="12"/>
    <x v="4"/>
    <x v="4"/>
    <x v="5"/>
    <n v="2.2000000000000002"/>
    <n v="64.790372670807443"/>
    <n v="6.6"/>
    <n v="4.4000000000000004"/>
    <n v="27"/>
    <n v="2.2999999999999998"/>
    <n v="2.2999999999999998"/>
    <n v="13"/>
    <m/>
    <m/>
    <n v="0"/>
    <n v="9296"/>
    <n v="3371"/>
    <n v="3034"/>
    <n v="5356.98"/>
    <n v="26257"/>
    <n v="9006.8683405754764"/>
    <n v="6542.2819"/>
    <n v="5934.98"/>
    <n v="555.63409999999999"/>
    <n v="0"/>
  </r>
  <r>
    <s v="כפר ורדים"/>
    <s v="מועצה מקומית"/>
    <x v="1"/>
    <n v="15.608465608465607"/>
    <n v="56.33"/>
    <n v="4.2"/>
    <n v="5561.9768664954308"/>
    <n v="2699"/>
    <n v="2863"/>
    <n v="3.9"/>
    <n v="6.7"/>
    <n v="8.3000000000000007"/>
    <n v="9.1"/>
    <n v="13.53829557713053"/>
    <n v="13.052858683926646"/>
    <n v="20.550161812297734"/>
    <n v="5.9"/>
    <n v="18.899999999999999"/>
    <n v="24.5"/>
    <n v="6.5"/>
    <n v="19"/>
    <n v="107"/>
    <n v="8.1999999999999993"/>
    <n v="8.1999999999999993"/>
    <n v="36"/>
    <n v="3.8"/>
    <n v="3.6"/>
    <n v="16"/>
    <x v="7"/>
    <x v="8"/>
    <x v="1"/>
    <n v="0"/>
    <n v="66.15062761506276"/>
    <n v="4.7"/>
    <n v="3"/>
    <n v="14"/>
    <n v="4.8"/>
    <n v="4.7"/>
    <n v="19"/>
    <m/>
    <m/>
    <n v="0"/>
    <n v="30822"/>
    <n v="21236"/>
    <n v="19893"/>
    <n v="21191.97"/>
    <n v="32695"/>
    <n v="11473.258794801286"/>
    <n v="22863.643"/>
    <n v="21583.47"/>
    <n v="928.67"/>
    <n v="0"/>
  </r>
  <r>
    <s v="כפר יאסיף"/>
    <s v="מועצה מקומית"/>
    <x v="0"/>
    <n v="13.960980848398066"/>
    <n v="24.98"/>
    <n v="99.8"/>
    <n v="10393.807894983585"/>
    <n v="5182"/>
    <n v="5212"/>
    <n v="7.6"/>
    <n v="7.8"/>
    <n v="8"/>
    <n v="7.9"/>
    <n v="15.98037329228401"/>
    <n v="21.127573600153934"/>
    <n v="17.288820473350007"/>
    <n v="4.5999999999999996"/>
    <n v="9.6999999999999993"/>
    <n v="27.9"/>
    <n v="3.4"/>
    <n v="-51"/>
    <n v="283"/>
    <n v="10.1"/>
    <n v="9.1"/>
    <n v="44"/>
    <n v="8.1999999999999993"/>
    <n v="4.5999999999999996"/>
    <n v="22"/>
    <x v="2"/>
    <x v="2"/>
    <x v="9"/>
    <n v="2.4"/>
    <n v="63.885188325057527"/>
    <n v="18"/>
    <n v="15.7"/>
    <n v="78"/>
    <n v="14.6"/>
    <n v="12"/>
    <n v="56"/>
    <m/>
    <m/>
    <n v="0"/>
    <n v="24153"/>
    <n v="13469"/>
    <n v="8473"/>
    <n v="41506"/>
    <n v="52959"/>
    <n v="7829.5655280752644"/>
    <n v="21288"/>
    <n v="15049"/>
    <n v="4268"/>
    <n v="0"/>
  </r>
  <r>
    <s v="כפר כמא"/>
    <s v="מועצה מקומית"/>
    <x v="0"/>
    <n v="9.3062605752961094"/>
    <n v="29.96"/>
    <n v="99.5"/>
    <n v="3499.8243338275988"/>
    <n v="1757"/>
    <n v="1743"/>
    <n v="7.6"/>
    <n v="7.2"/>
    <n v="7.1"/>
    <n v="6.7"/>
    <n v="15.542857142857141"/>
    <n v="21.028571428571428"/>
    <n v="16.37142857142857"/>
    <n v="4.9000000000000004"/>
    <n v="13.5"/>
    <n v="25.8"/>
    <n v="4.5999999999999996"/>
    <n v="-1"/>
    <n v="57"/>
    <n v="6.1"/>
    <n v="5.8"/>
    <n v="27"/>
    <n v="1.6"/>
    <n v="1.6"/>
    <n v="9"/>
    <x v="3"/>
    <x v="3"/>
    <x v="1"/>
    <n v="0.1"/>
    <n v="35.232774674115461"/>
    <n v="4.7"/>
    <n v="4.5"/>
    <n v="27"/>
    <n v="7"/>
    <n v="6.3"/>
    <n v="43"/>
    <m/>
    <m/>
    <n v="0"/>
    <n v="6813"/>
    <n v="3865"/>
    <n v="3264"/>
    <n v="4588"/>
    <n v="20471"/>
    <n v="7875.5381330398377"/>
    <n v="5303"/>
    <n v="4707"/>
    <n v="491"/>
    <n v="0"/>
  </r>
  <r>
    <s v="כפר כנא"/>
    <s v="מועצה מקומית"/>
    <x v="0"/>
    <n v="13.518164435946462"/>
    <n v="13.08"/>
    <n v="99.9"/>
    <n v="24108.192477953886"/>
    <n v="12310"/>
    <n v="11799"/>
    <n v="10"/>
    <n v="9.6999999999999993"/>
    <n v="9.6"/>
    <n v="9.9"/>
    <n v="18.819479011116641"/>
    <n v="18.226314916210388"/>
    <n v="14.621702339472375"/>
    <n v="3.3"/>
    <n v="5.8"/>
    <n v="35.1"/>
    <n v="1.9"/>
    <n v="28"/>
    <n v="399"/>
    <n v="52"/>
    <n v="28.3"/>
    <n v="111"/>
    <n v="29.6"/>
    <n v="21.9"/>
    <n v="87"/>
    <x v="1"/>
    <x v="0"/>
    <x v="9"/>
    <n v="1.7"/>
    <n v="52.528815267367889"/>
    <n v="26.3"/>
    <n v="24.6"/>
    <n v="93"/>
    <n v="33.299999999999997"/>
    <n v="29.1"/>
    <n v="124"/>
    <m/>
    <m/>
    <n v="0"/>
    <n v="51520"/>
    <n v="25078"/>
    <n v="16031"/>
    <n v="31177.5"/>
    <n v="97969"/>
    <n v="6291.927532050051"/>
    <n v="55194.1"/>
    <n v="40177"/>
    <n v="4059"/>
    <n v="10109"/>
  </r>
  <r>
    <s v="כפר מנדא"/>
    <s v="מועצה מקומית"/>
    <x v="0"/>
    <n v="10.496391865296305"/>
    <n v="11.83"/>
    <n v="100"/>
    <n v="21472.681336735808"/>
    <n v="11236"/>
    <n v="10237"/>
    <n v="10.8"/>
    <n v="10.6"/>
    <n v="9.9"/>
    <n v="9.6999999999999993"/>
    <n v="20.053089926884926"/>
    <n v="19.452335491081822"/>
    <n v="12.792809574814884"/>
    <n v="2.6"/>
    <n v="4.0999999999999996"/>
    <n v="36.9"/>
    <n v="1.4"/>
    <n v="23"/>
    <n v="402"/>
    <n v="29.7"/>
    <n v="25"/>
    <n v="112"/>
    <n v="10.7"/>
    <n v="10.199999999999999"/>
    <n v="46"/>
    <x v="0"/>
    <x v="0"/>
    <x v="9"/>
    <n v="0.3"/>
    <n v="65.164291945332948"/>
    <n v="33.200000000000003"/>
    <n v="32"/>
    <n v="173"/>
    <n v="44.9"/>
    <n v="42.7"/>
    <n v="245"/>
    <m/>
    <m/>
    <n v="0"/>
    <n v="32612"/>
    <n v="17253"/>
    <n v="12133"/>
    <n v="22983.4869"/>
    <n v="123702"/>
    <n v="7334.4822442161367"/>
    <n v="35420.8292"/>
    <n v="28127.4869"/>
    <n v="4555.4998999999998"/>
    <n v="1104.3900000000001"/>
  </r>
  <r>
    <s v="כפר קרע"/>
    <s v="מועצה מקומית"/>
    <x v="0"/>
    <n v="11.969681019054637"/>
    <n v="20.92"/>
    <n v="99.9"/>
    <n v="20017.905195024599"/>
    <n v="10129"/>
    <n v="9889"/>
    <n v="9"/>
    <n v="8.8000000000000007"/>
    <n v="9.1"/>
    <n v="9"/>
    <n v="17.69407533220102"/>
    <n v="20.151863323009291"/>
    <n v="15.785792786492156"/>
    <n v="3.9"/>
    <n v="6.6"/>
    <n v="32.200000000000003"/>
    <n v="2.2999999999999998"/>
    <n v="45"/>
    <n v="407"/>
    <n v="13.4"/>
    <n v="8.8000000000000007"/>
    <n v="42"/>
    <n v="3.3"/>
    <n v="2.7"/>
    <n v="14"/>
    <x v="2"/>
    <x v="2"/>
    <x v="0"/>
    <n v="0.8"/>
    <n v="62.206042955951943"/>
    <n v="11.8"/>
    <n v="10.4"/>
    <n v="47"/>
    <n v="16.5"/>
    <n v="15.6"/>
    <n v="63"/>
    <m/>
    <m/>
    <n v="0"/>
    <n v="42474"/>
    <n v="29224"/>
    <n v="23659"/>
    <n v="47106.298900000002"/>
    <n v="89990"/>
    <n v="6615.8770715387664"/>
    <n v="37103.557999999997"/>
    <n v="30861.298900000002"/>
    <n v="3764.8081000000002"/>
    <n v="1272.6524999999999"/>
  </r>
  <r>
    <s v="כפר שמריהו"/>
    <s v="מועצה מקומית"/>
    <x v="1"/>
    <n v="15.625"/>
    <n v="53.3"/>
    <s v="-"/>
    <n v="1950.9260495413607"/>
    <n v="958"/>
    <n v="993"/>
    <n v="4.5999999999999996"/>
    <n v="7.1"/>
    <n v="7.6"/>
    <n v="8.6999999999999993"/>
    <n v="11.788826242952332"/>
    <n v="11.481291645310097"/>
    <n v="19.887237314197847"/>
    <n v="5.7"/>
    <n v="23.1"/>
    <n v="24.2"/>
    <n v="11.6"/>
    <n v="4"/>
    <n v="16"/>
    <n v="2.4"/>
    <n v="2.4"/>
    <n v="5"/>
    <n v="1.7"/>
    <n v="1.7"/>
    <n v="4"/>
    <x v="9"/>
    <x v="9"/>
    <x v="2"/>
    <n v="0.4"/>
    <n v="64.117043121149891"/>
    <n v="2.9"/>
    <n v="2.9"/>
    <n v="8"/>
    <n v="8.5"/>
    <n v="8.5"/>
    <n v="18"/>
    <m/>
    <m/>
    <n v="0"/>
    <n v="35989"/>
    <n v="20999"/>
    <n v="16596"/>
    <n v="17282"/>
    <n v="2897"/>
    <n v="19260.084209154636"/>
    <n v="22005"/>
    <n v="16227"/>
    <n v="3470"/>
    <n v="0"/>
  </r>
  <r>
    <s v="כפר תבור"/>
    <s v="מועצה מקומית"/>
    <x v="1"/>
    <n v="12.950296397628819"/>
    <n v="57.55"/>
    <s v="-"/>
    <n v="4410.3248671751026"/>
    <n v="2196"/>
    <n v="2214"/>
    <n v="6"/>
    <n v="8.6999999999999993"/>
    <n v="10.199999999999999"/>
    <n v="8.9"/>
    <n v="12.51700680272109"/>
    <n v="14.988662131519273"/>
    <n v="19.455782312925169"/>
    <n v="5.2"/>
    <n v="14"/>
    <n v="30.3"/>
    <n v="4"/>
    <n v="-42"/>
    <n v="119"/>
    <n v="6.2"/>
    <n v="6"/>
    <n v="22"/>
    <n v="2.1"/>
    <n v="1.9"/>
    <n v="5"/>
    <x v="6"/>
    <x v="7"/>
    <x v="1"/>
    <n v="0.6"/>
    <n v="69.878152451119306"/>
    <n v="22.4"/>
    <n v="13.1"/>
    <n v="56"/>
    <n v="16.3"/>
    <n v="15.8"/>
    <n v="65"/>
    <m/>
    <m/>
    <n v="0"/>
    <n v="30318"/>
    <n v="16778"/>
    <n v="11166"/>
    <n v="11879.691989999999"/>
    <n v="11287"/>
    <n v="9443.975501668263"/>
    <n v="18277.086910000002"/>
    <n v="12561.287"/>
    <n v="3022.0630000000001"/>
    <n v="373.49400000000003"/>
  </r>
  <r>
    <s v="להבים"/>
    <s v="מועצה מקומית"/>
    <x v="1"/>
    <n v="11.213762344695763"/>
    <n v="71.08"/>
    <n v="4.4000000000000004"/>
    <n v="7218.9138997296113"/>
    <n v="3535"/>
    <n v="3684"/>
    <n v="6"/>
    <n v="7.6"/>
    <n v="8.4"/>
    <n v="8.4"/>
    <n v="13.810777115944036"/>
    <n v="14.087823798310014"/>
    <n v="18.769912730295054"/>
    <n v="5"/>
    <n v="17.899999999999999"/>
    <n v="27"/>
    <n v="7.4"/>
    <n v="176"/>
    <n v="104"/>
    <n v="16.100000000000001"/>
    <n v="16.100000000000001"/>
    <n v="58"/>
    <n v="25.6"/>
    <n v="25.6"/>
    <n v="97"/>
    <x v="7"/>
    <x v="9"/>
    <x v="1"/>
    <n v="0"/>
    <n v="70.786516853932582"/>
    <n v="5.8"/>
    <n v="5.8"/>
    <n v="21"/>
    <n v="14.8"/>
    <n v="14.8"/>
    <n v="54"/>
    <m/>
    <m/>
    <n v="0"/>
    <n v="44702"/>
    <n v="24971"/>
    <n v="21855"/>
    <n v="23084"/>
    <n v="11751"/>
    <n v="7818.7662000116261"/>
    <n v="27137.419000000002"/>
    <n v="24268"/>
    <n v="1975.21"/>
    <n v="0"/>
  </r>
  <r>
    <s v="לקיה"/>
    <s v="מועצה מקומית"/>
    <x v="0"/>
    <n v="15.502870902018891"/>
    <n v="11.7"/>
    <n v="99.9"/>
    <n v="16010.775736593596"/>
    <n v="8038"/>
    <n v="7973"/>
    <n v="17"/>
    <n v="13.9"/>
    <n v="11.8"/>
    <n v="11.4"/>
    <n v="17.65661107988258"/>
    <n v="14.939728936356255"/>
    <n v="9.3373305852226594"/>
    <n v="1.5"/>
    <n v="2.5"/>
    <n v="49.6"/>
    <n v="1"/>
    <n v="24"/>
    <n v="273"/>
    <n v="8.3000000000000007"/>
    <n v="5.9"/>
    <n v="21"/>
    <n v="11.4"/>
    <n v="10.7"/>
    <n v="43"/>
    <x v="0"/>
    <x v="6"/>
    <x v="1"/>
    <n v="0"/>
    <n v="47.45704071041402"/>
    <n v="5.2"/>
    <n v="4.0999999999999996"/>
    <n v="17"/>
    <n v="3"/>
    <n v="3"/>
    <n v="15"/>
    <m/>
    <m/>
    <n v="0"/>
    <n v="10212"/>
    <n v="3158"/>
    <n v="2679"/>
    <n v="8459"/>
    <n v="95076"/>
    <n v="6491.0034160600253"/>
    <n v="7479"/>
    <n v="6653"/>
    <n v="753"/>
    <n v="8"/>
  </r>
  <r>
    <s v="מבשרת ציון"/>
    <s v="מועצה מקומית"/>
    <x v="1"/>
    <n v="14.241182757392234"/>
    <n v="45.74"/>
    <s v="-"/>
    <n v="25486.781638450226"/>
    <n v="12543"/>
    <n v="12943"/>
    <n v="8.1"/>
    <n v="7.7"/>
    <n v="7.6"/>
    <n v="7.1"/>
    <n v="12.539726134892298"/>
    <n v="18.217130301722449"/>
    <n v="16.271040138109623"/>
    <n v="5.5"/>
    <n v="16.899999999999999"/>
    <n v="27.9"/>
    <n v="6.7"/>
    <n v="239"/>
    <n v="504"/>
    <n v="41.5"/>
    <n v="33.5"/>
    <n v="203"/>
    <n v="66.099999999999994"/>
    <n v="20.6"/>
    <n v="85"/>
    <x v="6"/>
    <x v="7"/>
    <x v="3"/>
    <n v="0.3"/>
    <n v="71.328777524677307"/>
    <n v="39.5"/>
    <n v="7.9"/>
    <n v="36"/>
    <n v="13"/>
    <n v="11.5"/>
    <n v="59"/>
    <m/>
    <m/>
    <n v="0"/>
    <n v="111832"/>
    <n v="84319"/>
    <n v="64734"/>
    <n v="80817.939400000003"/>
    <n v="56094"/>
    <n v="6585.0213016618954"/>
    <n v="93646.224399999905"/>
    <n v="72809.939400000003"/>
    <n v="17716.017899999901"/>
    <n v="589.31610000000001"/>
  </r>
  <r>
    <s v="מג'ד אל-כרום"/>
    <s v="מועצה מקומית"/>
    <x v="0"/>
    <n v="12.417508417508417"/>
    <n v="12.04"/>
    <n v="99.9"/>
    <n v="15777.422658708741"/>
    <n v="8060"/>
    <n v="7717"/>
    <n v="7.7"/>
    <n v="8.3000000000000007"/>
    <n v="9.6999999999999993"/>
    <n v="10.199999999999999"/>
    <n v="18.660074792419344"/>
    <n v="19.674209292007351"/>
    <n v="16.200798630918424"/>
    <n v="3.4"/>
    <n v="6.1"/>
    <n v="32.200000000000003"/>
    <n v="2.2999999999999998"/>
    <n v="-48"/>
    <n v="397"/>
    <n v="22.9"/>
    <n v="14.6"/>
    <n v="64"/>
    <n v="3.5"/>
    <n v="3.4"/>
    <n v="17"/>
    <x v="1"/>
    <x v="1"/>
    <x v="9"/>
    <n v="0.2"/>
    <n v="66.687846056095125"/>
    <n v="4.5999999999999996"/>
    <n v="3.9"/>
    <n v="17"/>
    <n v="2.6"/>
    <n v="2.2000000000000002"/>
    <n v="8"/>
    <m/>
    <m/>
    <n v="0"/>
    <n v="32774"/>
    <n v="16713"/>
    <n v="11322"/>
    <n v="27403.55"/>
    <n v="82863"/>
    <n v="7323.1225720016337"/>
    <n v="29317.56"/>
    <n v="21292.55"/>
    <n v="5975.2"/>
    <n v="8.14"/>
  </r>
  <r>
    <s v="מג'דל שמס"/>
    <s v="מועצה מקומית"/>
    <x v="0"/>
    <n v="13.967611336032389"/>
    <n v="22.46"/>
    <s v="-"/>
    <n v="11457.579431305687"/>
    <n v="5805"/>
    <n v="5653"/>
    <n v="6.4"/>
    <n v="7.5"/>
    <n v="8.1999999999999993"/>
    <n v="9.1"/>
    <n v="16.137196718449992"/>
    <n v="19.924943271076977"/>
    <n v="20.596962820736604"/>
    <n v="3.9"/>
    <n v="8.1999999999999993"/>
    <n v="27.7"/>
    <n v="3"/>
    <n v="-2"/>
    <n v="264"/>
    <n v="18.7"/>
    <n v="12.7"/>
    <n v="51"/>
    <n v="20.2"/>
    <n v="11.8"/>
    <n v="47"/>
    <x v="1"/>
    <x v="3"/>
    <x v="8"/>
    <n v="0.3"/>
    <n v="23.393124065769804"/>
    <n v="13.7"/>
    <n v="9.6999999999999993"/>
    <n v="49"/>
    <n v="15.8"/>
    <n v="14.4"/>
    <n v="63"/>
    <m/>
    <m/>
    <n v="0"/>
    <n v="17043"/>
    <n v="11786"/>
    <n v="5759"/>
    <n v="7999.8990000000003"/>
    <n v="8981"/>
    <n v="12779.217450255395"/>
    <n v="11743.144"/>
    <n v="6734.8990000000003"/>
    <n v="1266.472"/>
    <n v="83.260999999999996"/>
  </r>
  <r>
    <s v="מגדל"/>
    <s v="מועצה מקומית"/>
    <x v="1"/>
    <n v="12.394993999657125"/>
    <n v="10.4"/>
    <n v="100"/>
    <n v="2030.9537810925431"/>
    <n v="1032"/>
    <n v="999"/>
    <n v="8.3000000000000007"/>
    <n v="8.6"/>
    <n v="8.1999999999999993"/>
    <n v="7.2"/>
    <n v="13.638601674052191"/>
    <n v="16.937469226981783"/>
    <n v="17.282127031019201"/>
    <n v="6.9"/>
    <n v="12.8"/>
    <n v="29.8"/>
    <n v="3.5"/>
    <n v="23"/>
    <n v="62"/>
    <n v="2.6"/>
    <n v="2.2000000000000002"/>
    <n v="11"/>
    <n v="3.9"/>
    <n v="3.4"/>
    <n v="39"/>
    <x v="2"/>
    <x v="1"/>
    <x v="4"/>
    <n v="0"/>
    <n v="66.575901974132066"/>
    <n v="6.9"/>
    <n v="6.5"/>
    <n v="33"/>
    <n v="9.9"/>
    <n v="3.4"/>
    <n v="21"/>
    <m/>
    <m/>
    <n v="0"/>
    <n v="46760"/>
    <n v="13179"/>
    <n v="7570"/>
    <n v="94402"/>
    <n v="49062"/>
    <n v="8361.8883529818995"/>
    <n v="18718.402999999998"/>
    <n v="12087"/>
    <n v="3380.6619999999998"/>
    <n v="1329"/>
  </r>
  <r>
    <s v="מזכרת בתיה"/>
    <s v="מועצה מקומית"/>
    <x v="1"/>
    <n v="11.858887381275441"/>
    <n v="58.19"/>
    <s v="-"/>
    <n v="15725.943946840491"/>
    <n v="7780"/>
    <n v="7946"/>
    <n v="6.6"/>
    <n v="10.1"/>
    <n v="11.5"/>
    <n v="9.1"/>
    <n v="11.776675569121201"/>
    <n v="16.851074653440161"/>
    <n v="20.214930688032556"/>
    <n v="3.8"/>
    <n v="10.1"/>
    <n v="33.799999999999997"/>
    <n v="3.5"/>
    <n v="174"/>
    <n v="295"/>
    <n v="10.4"/>
    <n v="9.4"/>
    <n v="43"/>
    <n v="17.100000000000001"/>
    <n v="17.100000000000001"/>
    <n v="87"/>
    <x v="6"/>
    <x v="7"/>
    <x v="3"/>
    <n v="0.3"/>
    <n v="75.223194554936796"/>
    <n v="40.5"/>
    <n v="40"/>
    <n v="256"/>
    <n v="22.8"/>
    <n v="21"/>
    <n v="132"/>
    <m/>
    <m/>
    <n v="0"/>
    <n v="68777"/>
    <n v="47466"/>
    <n v="32268"/>
    <n v="33744.89"/>
    <n v="35692"/>
    <n v="6599.9217821740049"/>
    <n v="50301.55"/>
    <n v="35037.89"/>
    <n v="3469.87"/>
    <n v="1715.76"/>
  </r>
  <r>
    <s v="מזרעה"/>
    <s v="מועצה מקומית"/>
    <x v="0"/>
    <n v="16.003657978966622"/>
    <n v="13.21"/>
    <n v="99.7"/>
    <n v="4115.318483193023"/>
    <n v="2083"/>
    <n v="2032"/>
    <n v="9.9"/>
    <n v="8.3000000000000007"/>
    <n v="6.3"/>
    <n v="7"/>
    <n v="17.399756986634266"/>
    <n v="21.944106925880924"/>
    <n v="15.479951397326852"/>
    <n v="5.5"/>
    <n v="8.1999999999999993"/>
    <n v="28.7"/>
    <n v="2.6"/>
    <n v="-9"/>
    <n v="106"/>
    <n v="12.8"/>
    <n v="8.1"/>
    <n v="51"/>
    <n v="9.9"/>
    <n v="9.4"/>
    <n v="53"/>
    <x v="4"/>
    <x v="4"/>
    <x v="9"/>
    <n v="3"/>
    <n v="64.415156507413514"/>
    <n v="5.0999999999999996"/>
    <n v="4.9000000000000004"/>
    <n v="26"/>
    <n v="7.2"/>
    <n v="6.8"/>
    <n v="29"/>
    <m/>
    <m/>
    <n v="0"/>
    <n v="7258"/>
    <n v="4175"/>
    <n v="2449"/>
    <n v="6810"/>
    <n v="18985"/>
    <n v="6292.3441055061185"/>
    <n v="5707"/>
    <n v="4000"/>
    <n v="1045"/>
    <n v="475"/>
  </r>
  <r>
    <s v="מטולה"/>
    <s v="מועצה מקומית"/>
    <x v="1"/>
    <n v="18.76355748373102"/>
    <n v="44.25"/>
    <s v="-"/>
    <n v="1739.8937131613575"/>
    <n v="875"/>
    <n v="864"/>
    <n v="6.6"/>
    <n v="5.2"/>
    <n v="5.3"/>
    <n v="5.5"/>
    <n v="20.114942528735632"/>
    <n v="21.551724137931032"/>
    <n v="14.367816091954023"/>
    <n v="5.9"/>
    <n v="15.5"/>
    <n v="20.3"/>
    <n v="5.4"/>
    <n v="20"/>
    <n v="76"/>
    <n v="1.5"/>
    <n v="1.5"/>
    <n v="2"/>
    <n v="1.4"/>
    <n v="1.4"/>
    <n v="6"/>
    <x v="5"/>
    <x v="5"/>
    <x v="4"/>
    <n v="0"/>
    <n v="54.268696227663803"/>
    <n v="3.7"/>
    <n v="3.7"/>
    <n v="20"/>
    <n v="2.4"/>
    <n v="2.4"/>
    <n v="11"/>
    <m/>
    <m/>
    <n v="0"/>
    <n v="10907"/>
    <n v="7442"/>
    <n v="4237"/>
    <n v="5310"/>
    <n v="6319"/>
    <n v="9889.9719389952061"/>
    <n v="6797"/>
    <n v="4332"/>
    <n v="321"/>
    <n v="961"/>
  </r>
  <r>
    <s v="מיתר"/>
    <s v="מועצה מקומית"/>
    <x v="1"/>
    <n v="10.677337497560023"/>
    <n v="66.44"/>
    <s v="-"/>
    <n v="10946.863569185234"/>
    <n v="5509"/>
    <n v="5437"/>
    <n v="6.9"/>
    <n v="11.3"/>
    <n v="12.3"/>
    <n v="8.6999999999999993"/>
    <n v="11.592217045765963"/>
    <n v="18.525623458481778"/>
    <n v="17.822234402119303"/>
    <n v="3.5"/>
    <n v="9.4"/>
    <n v="35.799999999999997"/>
    <n v="3.2"/>
    <n v="232"/>
    <n v="213"/>
    <n v="14.7"/>
    <n v="14.4"/>
    <n v="51"/>
    <n v="22.4"/>
    <n v="17.399999999999999"/>
    <n v="66"/>
    <x v="7"/>
    <x v="8"/>
    <x v="1"/>
    <n v="0"/>
    <n v="72.384989402817595"/>
    <n v="11.8"/>
    <n v="11.6"/>
    <n v="39"/>
    <n v="5.9"/>
    <n v="4.8"/>
    <n v="16"/>
    <m/>
    <m/>
    <n v="0"/>
    <n v="57470"/>
    <n v="32964"/>
    <n v="31230"/>
    <n v="33963.280400000003"/>
    <n v="26342"/>
    <n v="7626.2026536075273"/>
    <n v="34518.987800000003"/>
    <n v="32269.2804"/>
    <n v="1185.1134"/>
    <n v="0"/>
  </r>
  <r>
    <s v="מסעדה"/>
    <s v="מועצה מקומית"/>
    <x v="0"/>
    <n v="13.862851504686729"/>
    <n v="8.84"/>
    <n v="99.9"/>
    <n v="3869.3573840350318"/>
    <n v="1981"/>
    <n v="1889"/>
    <n v="7.6"/>
    <n v="8.5"/>
    <n v="9.8000000000000007"/>
    <n v="9.8000000000000007"/>
    <n v="14.215559576117858"/>
    <n v="19.746704574825536"/>
    <n v="18.919617472215041"/>
    <n v="3.7"/>
    <n v="7.8"/>
    <n v="31.7"/>
    <n v="3.2"/>
    <n v="11"/>
    <n v="116"/>
    <n v="10.9"/>
    <n v="6.6"/>
    <n v="22"/>
    <n v="3.8"/>
    <n v="2.1"/>
    <n v="8"/>
    <x v="1"/>
    <x v="0"/>
    <x v="4"/>
    <n v="0.2"/>
    <n v="22.559652928416483"/>
    <n v="5"/>
    <n v="3.6"/>
    <n v="22"/>
    <n v="6.7"/>
    <n v="5.7"/>
    <n v="24"/>
    <m/>
    <m/>
    <n v="0"/>
    <n v="19777"/>
    <n v="6807"/>
    <n v="4241"/>
    <n v="6363.0293000000001"/>
    <n v="23178"/>
    <n v="10867.696060721199"/>
    <n v="10782.095300000001"/>
    <n v="8275.2731999999996"/>
    <n v="1296.8154"/>
    <n v="442.08"/>
  </r>
  <r>
    <s v="מעיליא"/>
    <s v="מועצה מקומית"/>
    <x v="0"/>
    <n v="15.17412935323383"/>
    <n v="35.369999999999997"/>
    <n v="97.5"/>
    <n v="3281.1785827625231"/>
    <n v="1635"/>
    <n v="1647"/>
    <n v="6.5"/>
    <n v="6.8"/>
    <n v="6.1"/>
    <n v="7.4"/>
    <n v="14.050594330996645"/>
    <n v="18.591892715635478"/>
    <n v="19.323377019201462"/>
    <n v="4.7"/>
    <n v="16.600000000000001"/>
    <n v="23.5"/>
    <n v="9.5"/>
    <n v="-5"/>
    <n v="44"/>
    <n v="4.4000000000000004"/>
    <n v="4.3"/>
    <n v="16"/>
    <n v="6"/>
    <n v="4.0999999999999996"/>
    <n v="15"/>
    <x v="5"/>
    <x v="5"/>
    <x v="1"/>
    <n v="6.2"/>
    <n v="66.551987767584095"/>
    <n v="3.4"/>
    <n v="2.5"/>
    <n v="10"/>
    <n v="4.5999999999999996"/>
    <n v="3.9"/>
    <n v="18"/>
    <m/>
    <m/>
    <n v="0"/>
    <n v="13034"/>
    <n v="7748"/>
    <n v="4004"/>
    <n v="6683"/>
    <n v="15742"/>
    <n v="8768.8003789711402"/>
    <n v="11668"/>
    <n v="6921"/>
    <n v="2581"/>
    <n v="0"/>
  </r>
  <r>
    <s v="מעלה אפרים"/>
    <s v="מועצה מקומית"/>
    <x v="1"/>
    <n v="18.902439024390244"/>
    <n v="29.41"/>
    <s v="-"/>
    <n v="1376.9826353216724"/>
    <n v="722"/>
    <n v="655"/>
    <n v="12.4"/>
    <n v="12"/>
    <n v="9.9"/>
    <n v="8.1"/>
    <n v="14.524328249818447"/>
    <n v="17.647058823529413"/>
    <n v="10.167029774872912"/>
    <n v="4.7"/>
    <n v="10.5"/>
    <n v="37"/>
    <n v="2.7"/>
    <n v="26"/>
    <n v="42"/>
    <s v="-"/>
    <s v="-"/>
    <s v="-"/>
    <s v="-"/>
    <s v="-"/>
    <s v="-"/>
    <x v="1"/>
    <x v="4"/>
    <x v="1"/>
    <n v="1.4"/>
    <n v="54.216867469879517"/>
    <s v="-"/>
    <s v="-"/>
    <s v="-"/>
    <s v="-"/>
    <s v="-"/>
    <s v="-"/>
    <m/>
    <m/>
    <n v="0"/>
    <n v="10883"/>
    <n v="2716"/>
    <n v="1580"/>
    <n v="1911.4090000000001"/>
    <n v="11806"/>
    <n v="15902.887544318581"/>
    <n v="3343.3818000000001"/>
    <n v="1926.4090000000001"/>
    <n v="630.99400000000003"/>
    <n v="612.53899999999999"/>
  </r>
  <r>
    <s v="מעלה עירון"/>
    <s v="מועצה מקומית"/>
    <x v="0"/>
    <n v="11.619265399456911"/>
    <n v="13.04"/>
    <n v="100"/>
    <n v="15860.84461081914"/>
    <n v="8058"/>
    <n v="7803"/>
    <n v="9.6"/>
    <n v="8.9"/>
    <n v="9.1"/>
    <n v="9.8000000000000007"/>
    <n v="20.263539499401045"/>
    <n v="17.558792005548199"/>
    <n v="16.121303826997035"/>
    <n v="3"/>
    <n v="5.5"/>
    <n v="33.200000000000003"/>
    <n v="1.7"/>
    <n v="-17"/>
    <n v="350"/>
    <n v="14.9"/>
    <n v="14.1"/>
    <n v="60"/>
    <n v="9.6999999999999993"/>
    <n v="8.6999999999999993"/>
    <n v="45"/>
    <x v="1"/>
    <x v="0"/>
    <x v="0"/>
    <n v="0.5"/>
    <n v="43.069863270275334"/>
    <n v="6.1"/>
    <n v="6.1"/>
    <n v="31"/>
    <n v="11.8"/>
    <n v="11.7"/>
    <n v="55"/>
    <m/>
    <m/>
    <n v="0"/>
    <n v="27508"/>
    <n v="12798"/>
    <n v="11439"/>
    <n v="22463.71"/>
    <n v="87699"/>
    <n v="7133.7310702116811"/>
    <n v="23582.58"/>
    <n v="21677.19"/>
    <n v="1287.7"/>
    <n v="307.43"/>
  </r>
  <r>
    <s v="מצפה רמון"/>
    <s v="מועצה מקומית"/>
    <x v="1"/>
    <n v="23.49570200573066"/>
    <n v="28.24"/>
    <n v="4.0999999999999996"/>
    <n v="5263.01800192679"/>
    <n v="2872"/>
    <n v="2391"/>
    <n v="10.3"/>
    <n v="8.3000000000000007"/>
    <n v="7.1"/>
    <n v="11.5"/>
    <n v="20.76762302869086"/>
    <n v="18.221546646399393"/>
    <n v="11.780353410602318"/>
    <n v="3.2"/>
    <n v="8.8000000000000007"/>
    <n v="32.5"/>
    <n v="3.4"/>
    <n v="4"/>
    <n v="132"/>
    <n v="7.5"/>
    <n v="3.9"/>
    <n v="26"/>
    <n v="6.2"/>
    <n v="2.2999999999999998"/>
    <n v="18"/>
    <x v="1"/>
    <x v="1"/>
    <x v="4"/>
    <n v="0.1"/>
    <n v="53.089061246322544"/>
    <n v="3.2"/>
    <n v="3.2"/>
    <n v="25"/>
    <n v="4.8"/>
    <n v="1.9"/>
    <n v="7"/>
    <m/>
    <m/>
    <n v="0"/>
    <n v="41061"/>
    <n v="17875"/>
    <n v="9776"/>
    <n v="11119.375"/>
    <n v="44115"/>
    <n v="16181.590100740959"/>
    <n v="33122.832000000002"/>
    <n v="10809.334999999999"/>
    <n v="3970.0230000000001"/>
    <n v="1651.107"/>
  </r>
  <r>
    <s v="משהד"/>
    <s v="מועצה מקומית"/>
    <x v="0"/>
    <n v="15.656690576304724"/>
    <n v="12.94"/>
    <n v="100"/>
    <n v="8770.5822717185056"/>
    <n v="4556"/>
    <n v="4214"/>
    <n v="10"/>
    <n v="10.6"/>
    <n v="9.4"/>
    <n v="9.6"/>
    <n v="18.663778360506214"/>
    <n v="20.009120966822483"/>
    <n v="13.259605518184928"/>
    <n v="3"/>
    <n v="5.4"/>
    <n v="35.6"/>
    <n v="1.8"/>
    <n v="-23"/>
    <n v="114"/>
    <n v="24.1"/>
    <n v="23.9"/>
    <n v="90"/>
    <n v="16.8"/>
    <n v="14.1"/>
    <n v="61"/>
    <x v="1"/>
    <x v="0"/>
    <x v="0"/>
    <n v="0"/>
    <n v="48.425987943737439"/>
    <n v="17.5"/>
    <n v="13.1"/>
    <n v="54"/>
    <n v="7.6"/>
    <n v="6.6"/>
    <n v="30"/>
    <m/>
    <m/>
    <n v="0"/>
    <n v="17792"/>
    <n v="5989"/>
    <n v="5147"/>
    <n v="15205"/>
    <n v="42807"/>
    <n v="6881.8691997941278"/>
    <n v="11660"/>
    <n v="10461"/>
    <n v="1156"/>
    <n v="0"/>
  </r>
  <r>
    <s v="נחף"/>
    <s v="מועצה מקומית"/>
    <x v="0"/>
    <n v="14.085881587508133"/>
    <n v="14.93"/>
    <n v="99.8"/>
    <n v="13717.162232738068"/>
    <n v="6939"/>
    <n v="6778"/>
    <n v="9.8000000000000007"/>
    <n v="10.1"/>
    <n v="9.5"/>
    <n v="10.7"/>
    <n v="18.568200043741342"/>
    <n v="19.705474958081211"/>
    <n v="14.405482248305024"/>
    <n v="2.7"/>
    <n v="4.5999999999999996"/>
    <n v="35.799999999999997"/>
    <n v="1.6"/>
    <n v="-45"/>
    <n v="250"/>
    <n v="14.9"/>
    <n v="14.9"/>
    <n v="80"/>
    <n v="15.3"/>
    <n v="14.8"/>
    <n v="72"/>
    <x v="1"/>
    <x v="0"/>
    <x v="1"/>
    <n v="0.5"/>
    <n v="58.37054787060233"/>
    <n v="5.8"/>
    <n v="5.4"/>
    <n v="28"/>
    <n v="11.4"/>
    <n v="11.4"/>
    <n v="63"/>
    <m/>
    <m/>
    <n v="0"/>
    <n v="16585"/>
    <n v="9173"/>
    <n v="7342"/>
    <n v="19933.061000000002"/>
    <n v="84095"/>
    <n v="7338.7628061832702"/>
    <n v="14231.909"/>
    <n v="12118.061"/>
    <n v="1660.489"/>
    <n v="2.6429999999999998"/>
  </r>
  <r>
    <s v="סאג'ור"/>
    <s v="מועצה מקומית"/>
    <x v="0"/>
    <n v="13.665943600867678"/>
    <n v="18.32"/>
    <n v="100"/>
    <n v="4480.8152207950443"/>
    <n v="2328"/>
    <n v="2152"/>
    <n v="8.6999999999999993"/>
    <n v="7.2"/>
    <n v="8.6"/>
    <n v="8.4"/>
    <n v="18.745815666145948"/>
    <n v="23.811649185449678"/>
    <n v="15.844677527337648"/>
    <n v="3.2"/>
    <n v="5.6"/>
    <n v="29.2"/>
    <n v="1.8"/>
    <n v="-1"/>
    <n v="119"/>
    <n v="4.3"/>
    <n v="4.3"/>
    <n v="15"/>
    <n v="3.8"/>
    <n v="1.4"/>
    <n v="5"/>
    <x v="4"/>
    <x v="4"/>
    <x v="1"/>
    <n v="0.6"/>
    <n v="53.27334781259696"/>
    <n v="4.8"/>
    <n v="4.8"/>
    <n v="18"/>
    <n v="2.6"/>
    <n v="2.6"/>
    <n v="11"/>
    <m/>
    <m/>
    <n v="517"/>
    <n v="8258"/>
    <n v="2730"/>
    <n v="2132"/>
    <n v="9465.7343999999994"/>
    <n v="22816"/>
    <n v="7052.7344786140866"/>
    <n v="6621.2"/>
    <n v="6050"/>
    <n v="390.55"/>
    <n v="26.87"/>
  </r>
  <r>
    <s v="סביון"/>
    <s v="מועצה מקומית"/>
    <x v="1"/>
    <n v="13.860369609856264"/>
    <n v="53.12"/>
    <s v="-"/>
    <n v="4053.8466816141326"/>
    <n v="2025"/>
    <n v="2029"/>
    <n v="4.4000000000000004"/>
    <n v="6.6"/>
    <n v="8.4"/>
    <n v="9.5"/>
    <n v="14.158855451406019"/>
    <n v="9.8914652195362613"/>
    <n v="21.336951159348789"/>
    <n v="6.5"/>
    <n v="19.2"/>
    <n v="25.1"/>
    <n v="9.1999999999999993"/>
    <n v="-1"/>
    <n v="41"/>
    <n v="12.2"/>
    <n v="11.4"/>
    <n v="31"/>
    <n v="15.7"/>
    <n v="10.1"/>
    <n v="18"/>
    <x v="9"/>
    <x v="9"/>
    <x v="7"/>
    <n v="0"/>
    <n v="67.377666248431623"/>
    <n v="12.6"/>
    <n v="11.7"/>
    <n v="41"/>
    <n v="22.6"/>
    <n v="22.6"/>
    <n v="86"/>
    <m/>
    <m/>
    <n v="0"/>
    <n v="68317"/>
    <n v="33327"/>
    <n v="29718"/>
    <n v="32370.550999999999"/>
    <n v="8611"/>
    <n v="18826.06965530631"/>
    <n v="34983.165999999997"/>
    <n v="30110.550999999999"/>
    <n v="3252.5459999999998"/>
    <n v="0"/>
  </r>
  <r>
    <s v="ע'ג'ר"/>
    <s v="מועצה מקומית"/>
    <x v="0"/>
    <n v="17.265087853323145"/>
    <n v="11.25"/>
    <n v="99.9"/>
    <n v="2805.6258017079331"/>
    <n v="1424"/>
    <n v="1382"/>
    <n v="9.4"/>
    <n v="10.199999999999999"/>
    <n v="9.5"/>
    <n v="10.3"/>
    <n v="17.783321454027085"/>
    <n v="22.808267997148967"/>
    <n v="13.043478260869565"/>
    <n v="2.7"/>
    <n v="4.2"/>
    <n v="35.200000000000003"/>
    <n v="1.4"/>
    <n v="-6"/>
    <n v="72"/>
    <s v="-"/>
    <s v="-"/>
    <s v="-"/>
    <s v="-"/>
    <s v="-"/>
    <s v="-"/>
    <x v="1"/>
    <x v="1"/>
    <x v="4"/>
    <n v="0"/>
    <n v="30.097613882863339"/>
    <n v="0"/>
    <s v="-"/>
    <s v="-"/>
    <s v="-"/>
    <s v="-"/>
    <s v="-"/>
    <m/>
    <m/>
    <n v="0"/>
    <n v="12023"/>
    <n v="2401"/>
    <n v="1953"/>
    <n v="2596.65"/>
    <n v="13541"/>
    <n v="9104.9205437337387"/>
    <n v="2757.1080000000002"/>
    <n v="2317.65"/>
    <n v="74.787999999999997"/>
    <n v="6.9820000000000002"/>
  </r>
  <r>
    <s v="עומר"/>
    <s v="מועצה מקומית"/>
    <x v="1"/>
    <n v="10.954975623745341"/>
    <n v="62.78"/>
    <s v="-"/>
    <n v="7710.0961162083913"/>
    <n v="3789"/>
    <n v="3921"/>
    <n v="4.8"/>
    <n v="7.6"/>
    <n v="9.5"/>
    <n v="9.1999999999999993"/>
    <n v="12.295719844357976"/>
    <n v="13.138780804150455"/>
    <n v="18.365758754863815"/>
    <n v="4.5999999999999996"/>
    <n v="20.399999999999999"/>
    <n v="27.8"/>
    <n v="9.9"/>
    <n v="58"/>
    <n v="112"/>
    <n v="6.5"/>
    <n v="1.8"/>
    <n v="6"/>
    <n v="29"/>
    <n v="4.3"/>
    <n v="13"/>
    <x v="7"/>
    <x v="9"/>
    <x v="1"/>
    <n v="0.8"/>
    <n v="69.075579644685334"/>
    <n v="5.3"/>
    <n v="4.5"/>
    <n v="18"/>
    <n v="3.9"/>
    <n v="3.3"/>
    <n v="10"/>
    <m/>
    <m/>
    <n v="0"/>
    <n v="66771"/>
    <n v="41259"/>
    <n v="28863"/>
    <n v="29866"/>
    <n v="27575"/>
    <n v="12204.776514028172"/>
    <n v="44205"/>
    <n v="31459"/>
    <n v="6968"/>
    <n v="4914"/>
  </r>
  <r>
    <s v="עיילבון"/>
    <s v="מועצה מקומית"/>
    <x v="0"/>
    <n v="15.024121295658166"/>
    <n v="24.84"/>
    <n v="99.5"/>
    <n v="5798.953881790665"/>
    <n v="2924"/>
    <n v="2874"/>
    <n v="7.5"/>
    <n v="8.1999999999999993"/>
    <n v="8"/>
    <n v="7.7"/>
    <n v="15.968270391446801"/>
    <n v="21.676151060527676"/>
    <n v="16.10622521124332"/>
    <n v="4.8"/>
    <n v="10.1"/>
    <n v="28.2"/>
    <n v="3.9"/>
    <n v="-33"/>
    <n v="136"/>
    <n v="9.4"/>
    <n v="9"/>
    <n v="32"/>
    <n v="6.6"/>
    <n v="6.6"/>
    <n v="27"/>
    <x v="2"/>
    <x v="2"/>
    <x v="1"/>
    <n v="1.4"/>
    <n v="64.462040055891947"/>
    <n v="9.9"/>
    <n v="9.6"/>
    <n v="51"/>
    <n v="8.1999999999999993"/>
    <n v="8.1999999999999993"/>
    <n v="48"/>
    <m/>
    <m/>
    <n v="0"/>
    <n v="14786"/>
    <n v="8407"/>
    <n v="6082"/>
    <n v="7332.67"/>
    <n v="23761"/>
    <n v="6643.0947348911213"/>
    <n v="10618.365"/>
    <n v="8762.67"/>
    <n v="1182.6199999999999"/>
    <n v="244.03299999999999"/>
  </r>
  <r>
    <s v="עילוט"/>
    <s v="מועצה מקומית"/>
    <x v="0"/>
    <n v="12.125096129197642"/>
    <n v="4.6100000000000003"/>
    <n v="100"/>
    <n v="8863.0336799631459"/>
    <n v="4516"/>
    <n v="4347"/>
    <n v="10.6"/>
    <n v="10.4"/>
    <n v="9.8000000000000007"/>
    <n v="9.6999999999999993"/>
    <n v="19.271127157847229"/>
    <n v="18.774681259167323"/>
    <n v="14.498476813719959"/>
    <n v="2.7"/>
    <n v="4.2"/>
    <n v="36.5"/>
    <n v="1.5"/>
    <n v="33"/>
    <n v="123"/>
    <n v="31.1"/>
    <n v="25"/>
    <n v="104"/>
    <n v="18.100000000000001"/>
    <n v="17.399999999999999"/>
    <n v="65"/>
    <x v="0"/>
    <x v="0"/>
    <x v="9"/>
    <n v="2.6"/>
    <n v="46.397896581945666"/>
    <n v="22.8"/>
    <n v="19.399999999999999"/>
    <n v="75"/>
    <n v="21.5"/>
    <n v="15.7"/>
    <n v="67"/>
    <m/>
    <m/>
    <n v="0"/>
    <n v="20533"/>
    <n v="7060"/>
    <n v="3964"/>
    <n v="6984"/>
    <n v="38991"/>
    <n v="8226.0772815096825"/>
    <n v="21588"/>
    <n v="15600"/>
    <n v="4391"/>
    <n v="390"/>
  </r>
  <r>
    <s v="עין מאהל"/>
    <s v="מועצה מקומית"/>
    <x v="0"/>
    <n v="14.600888616516011"/>
    <n v="11.85"/>
    <n v="99.9"/>
    <n v="13930.526286148257"/>
    <n v="7074"/>
    <n v="6856"/>
    <n v="9.3000000000000007"/>
    <n v="9"/>
    <n v="8.9"/>
    <n v="9.1"/>
    <n v="20.041633766420215"/>
    <n v="18.297322518125046"/>
    <n v="16.086425956499891"/>
    <n v="3.6"/>
    <n v="5.7"/>
    <n v="32.299999999999997"/>
    <n v="1.7"/>
    <n v="-35"/>
    <n v="259"/>
    <n v="15.8"/>
    <n v="14.8"/>
    <n v="62"/>
    <n v="14.9"/>
    <n v="12.8"/>
    <n v="51"/>
    <x v="1"/>
    <x v="0"/>
    <x v="9"/>
    <n v="0"/>
    <n v="52.064409578860449"/>
    <n v="17.8"/>
    <n v="16.8"/>
    <n v="73"/>
    <n v="15.7"/>
    <n v="14.2"/>
    <n v="61"/>
    <m/>
    <m/>
    <n v="0"/>
    <n v="21133"/>
    <n v="9865"/>
    <n v="8778"/>
    <n v="24771"/>
    <n v="71239"/>
    <n v="6628.3210054894917"/>
    <n v="17174"/>
    <n v="16040"/>
    <n v="1000.48"/>
    <n v="0"/>
  </r>
  <r>
    <s v="עין קנייא"/>
    <s v="מועצה מקומית"/>
    <x v="0"/>
    <n v="12.283594394064304"/>
    <n v="9.89"/>
    <n v="100"/>
    <n v="2190.2464315704187"/>
    <n v="1132"/>
    <n v="1058"/>
    <n v="8.1"/>
    <n v="7.7"/>
    <n v="9.6"/>
    <n v="8.4"/>
    <n v="15.616438356164384"/>
    <n v="21.232876712328768"/>
    <n v="18.401826484018265"/>
    <n v="3.7"/>
    <n v="7.3"/>
    <n v="30.2"/>
    <n v="2.2999999999999998"/>
    <n v="-5"/>
    <n v="64"/>
    <n v="8.3000000000000007"/>
    <n v="3.3"/>
    <n v="11"/>
    <n v="5.8"/>
    <n v="3.2"/>
    <n v="13"/>
    <x v="1"/>
    <x v="1"/>
    <x v="4"/>
    <n v="0"/>
    <n v="14.975845410628018"/>
    <n v="2.2999999999999998"/>
    <n v="2.2999999999999998"/>
    <n v="11"/>
    <n v="2.5"/>
    <n v="2.5"/>
    <n v="11"/>
    <m/>
    <m/>
    <n v="0"/>
    <n v="12273"/>
    <n v="2674"/>
    <n v="1997"/>
    <n v="4129.7550000000001"/>
    <n v="16356"/>
    <n v="12918.637643761542"/>
    <n v="3819.5210099999999"/>
    <n v="3137.7550000000001"/>
    <n v="253.15"/>
    <n v="7.5012999999999996"/>
  </r>
  <r>
    <s v="עמנואל"/>
    <s v="מועצה מקומית"/>
    <x v="1"/>
    <n v="9.4140882159315336"/>
    <n v="8.3000000000000007"/>
    <s v="-"/>
    <n v="4656.0861218562195"/>
    <n v="2328"/>
    <n v="2329"/>
    <n v="20"/>
    <n v="16.8"/>
    <n v="10.8"/>
    <n v="6.9"/>
    <n v="17.461340206185564"/>
    <n v="14.239690721649485"/>
    <n v="7.2594501718213067"/>
    <n v="2.8"/>
    <n v="4"/>
    <n v="51.7"/>
    <n v="0.9"/>
    <n v="168"/>
    <n v="101"/>
    <n v="0.1"/>
    <n v="0.1"/>
    <s v="-"/>
    <n v="2"/>
    <n v="0.7"/>
    <n v="3"/>
    <x v="0"/>
    <x v="0"/>
    <x v="0"/>
    <n v="2.6"/>
    <n v="75.808336579664982"/>
    <s v="-"/>
    <s v="-"/>
    <s v="-"/>
    <s v="-"/>
    <s v="-"/>
    <s v="-"/>
    <m/>
    <m/>
    <n v="0"/>
    <n v="17941"/>
    <n v="8771"/>
    <n v="2605"/>
    <n v="4561"/>
    <n v="35898"/>
    <n v="11431.704355756256"/>
    <n v="10864"/>
    <n v="4535"/>
    <n v="620"/>
    <n v="4577"/>
  </r>
  <r>
    <s v="עספיא"/>
    <s v="מועצה מקומית"/>
    <x v="0"/>
    <n v="14.809803037137273"/>
    <n v="16.440000000000001"/>
    <n v="98.1"/>
    <n v="12896.050399582984"/>
    <n v="6498"/>
    <n v="6398"/>
    <n v="7.1"/>
    <n v="7.5"/>
    <n v="7.6"/>
    <n v="8"/>
    <n v="15.531947890818859"/>
    <n v="21.510545905707197"/>
    <n v="18.540632754342433"/>
    <n v="4.5999999999999996"/>
    <n v="9.6999999999999993"/>
    <n v="26.9"/>
    <n v="3.4"/>
    <n v="67"/>
    <n v="350"/>
    <n v="2"/>
    <n v="1.5"/>
    <n v="5"/>
    <n v="3.6"/>
    <n v="3.6"/>
    <n v="19"/>
    <x v="2"/>
    <x v="2"/>
    <x v="9"/>
    <n v="0.2"/>
    <n v="51.746861924686193"/>
    <n v="6.9"/>
    <n v="5.7"/>
    <n v="36"/>
    <n v="6.5"/>
    <n v="4.8"/>
    <n v="24"/>
    <m/>
    <m/>
    <n v="0"/>
    <n v="37133"/>
    <n v="15758"/>
    <n v="12503"/>
    <n v="26343.812999999998"/>
    <n v="60836"/>
    <n v="7546.5741048241434"/>
    <n v="24536.653999999999"/>
    <n v="20038.467000000001"/>
    <n v="3720.453"/>
    <n v="12.779"/>
  </r>
  <r>
    <s v="ערערה"/>
    <s v="מועצה מקומית"/>
    <x v="0"/>
    <n v="14.993093188821591"/>
    <n v="17.829999999999998"/>
    <n v="99.8"/>
    <n v="26146.640465348395"/>
    <n v="13252"/>
    <n v="12895"/>
    <n v="9.4"/>
    <n v="8.5"/>
    <n v="10"/>
    <n v="10.199999999999999"/>
    <n v="17.416912074042912"/>
    <n v="18.36157111714537"/>
    <n v="16.082150915975063"/>
    <n v="3.5"/>
    <n v="6.5"/>
    <n v="33.799999999999997"/>
    <n v="2.6"/>
    <n v="22"/>
    <n v="391"/>
    <n v="14.5"/>
    <n v="13.5"/>
    <n v="67"/>
    <n v="4.5"/>
    <n v="3.2"/>
    <n v="14"/>
    <x v="4"/>
    <x v="1"/>
    <x v="0"/>
    <n v="0.2"/>
    <n v="52.450945917434424"/>
    <n v="15.2"/>
    <n v="2.2000000000000002"/>
    <n v="11"/>
    <n v="6.9"/>
    <n v="5"/>
    <n v="21"/>
    <m/>
    <m/>
    <n v="0"/>
    <n v="38618"/>
    <n v="19469"/>
    <n v="15906"/>
    <n v="45659"/>
    <n v="91818"/>
    <n v="5002.975436686068"/>
    <n v="31515"/>
    <n v="26334"/>
    <n v="2880"/>
    <n v="43"/>
  </r>
  <r>
    <s v="ערערה-בנגב"/>
    <s v="מועצה מקומית"/>
    <x v="0"/>
    <n v="13.892236185229818"/>
    <n v="8.3800000000000008"/>
    <n v="99.9"/>
    <n v="20380.707462710492"/>
    <n v="10212"/>
    <n v="10169"/>
    <n v="17.2"/>
    <n v="13.9"/>
    <n v="13.2"/>
    <n v="11.9"/>
    <n v="19.032432167214562"/>
    <n v="14.449732594082723"/>
    <n v="7.3156371129974005"/>
    <n v="1.1000000000000001"/>
    <n v="1.9"/>
    <n v="51.2"/>
    <n v="0.6"/>
    <n v="-8"/>
    <n v="326"/>
    <n v="35.700000000000003"/>
    <n v="33.700000000000003"/>
    <n v="108"/>
    <n v="21.7"/>
    <n v="12.3"/>
    <n v="41"/>
    <x v="8"/>
    <x v="6"/>
    <x v="8"/>
    <n v="0.3"/>
    <n v="57.185170054131341"/>
    <n v="7.1"/>
    <n v="5.4"/>
    <n v="25"/>
    <n v="5.5"/>
    <n v="5"/>
    <n v="24"/>
    <m/>
    <m/>
    <n v="0"/>
    <n v="23954"/>
    <n v="3038"/>
    <n v="1735"/>
    <n v="7047"/>
    <n v="82627"/>
    <n v="5245.2055550864043"/>
    <n v="11829.494000000001"/>
    <n v="10344"/>
    <n v="1236"/>
    <n v="149"/>
  </r>
  <r>
    <s v="פוריידיס"/>
    <s v="מועצה מקומית"/>
    <x v="0"/>
    <n v="20.226637690158338"/>
    <n v="9.99"/>
    <n v="99.9"/>
    <n v="13721.700733650972"/>
    <n v="6897"/>
    <n v="6825"/>
    <n v="8.6"/>
    <n v="10"/>
    <n v="9.5"/>
    <n v="9.1"/>
    <n v="17.519312053636497"/>
    <n v="20.346888208715932"/>
    <n v="15.515231015886895"/>
    <n v="3.8"/>
    <n v="5.7"/>
    <n v="33.5"/>
    <n v="2"/>
    <n v="-23"/>
    <n v="313"/>
    <n v="15.5"/>
    <n v="12.9"/>
    <n v="64"/>
    <n v="21.1"/>
    <n v="18.600000000000001"/>
    <n v="102"/>
    <x v="1"/>
    <x v="1"/>
    <x v="0"/>
    <n v="0"/>
    <n v="38.727193744569938"/>
    <n v="10.3"/>
    <n v="6.3"/>
    <n v="38"/>
    <n v="14.1"/>
    <n v="9.5"/>
    <n v="55"/>
    <m/>
    <m/>
    <n v="0"/>
    <n v="23217"/>
    <n v="8387"/>
    <n v="7583"/>
    <n v="22065.43"/>
    <n v="78835"/>
    <n v="7455.1254240028557"/>
    <n v="13631.73"/>
    <n v="12690.43"/>
    <n v="714.53"/>
    <n v="29.6"/>
  </r>
  <r>
    <s v="פסוטה"/>
    <s v="מועצה מקומית"/>
    <x v="0"/>
    <n v="14.199561403508772"/>
    <n v="27.1"/>
    <n v="99.7"/>
    <n v="3254.7767700505692"/>
    <n v="1658"/>
    <n v="1597"/>
    <n v="6.8"/>
    <n v="8.1"/>
    <n v="6"/>
    <n v="6.5"/>
    <n v="15.299539170506913"/>
    <n v="21.874039938556066"/>
    <n v="18.70967741935484"/>
    <n v="5.0999999999999996"/>
    <n v="11.7"/>
    <n v="24.8"/>
    <n v="4.4000000000000004"/>
    <n v="-8"/>
    <n v="76"/>
    <n v="8"/>
    <n v="6.5"/>
    <n v="25"/>
    <n v="2.5"/>
    <n v="2.5"/>
    <n v="8"/>
    <x v="5"/>
    <x v="3"/>
    <x v="8"/>
    <n v="0.1"/>
    <n v="46.501295816364305"/>
    <n v="3"/>
    <n v="2.2999999999999998"/>
    <n v="11"/>
    <n v="3.2"/>
    <n v="3.1"/>
    <n v="12"/>
    <m/>
    <m/>
    <n v="0"/>
    <n v="7437"/>
    <n v="3876"/>
    <n v="3401"/>
    <n v="5528.4960000000001"/>
    <n v="17201"/>
    <n v="7764.5877998592669"/>
    <n v="5411.2709999999997"/>
    <n v="4854.4960000000001"/>
    <n v="325.01900000000001"/>
    <n v="6.9290000000000003"/>
  </r>
  <r>
    <s v="פקיעין (בוקייעה)"/>
    <s v="מועצה מקומית"/>
    <x v="0"/>
    <n v="18.338461538461541"/>
    <n v="23.77"/>
    <n v="100"/>
    <n v="6104.2297492084363"/>
    <n v="3114"/>
    <n v="2990"/>
    <n v="6.5"/>
    <n v="8"/>
    <n v="7.4"/>
    <n v="7.7"/>
    <n v="17.021625163826997"/>
    <n v="21.707077326343381"/>
    <n v="17.169069462647442"/>
    <n v="5"/>
    <n v="9.6"/>
    <n v="26.1"/>
    <n v="3.5"/>
    <n v="32"/>
    <n v="121"/>
    <n v="4.9000000000000004"/>
    <n v="3.3"/>
    <n v="9"/>
    <n v="7.9"/>
    <n v="4.2"/>
    <n v="15"/>
    <x v="2"/>
    <x v="2"/>
    <x v="1"/>
    <n v="1.1000000000000001"/>
    <n v="62.190127182582458"/>
    <n v="4.5999999999999996"/>
    <n v="4.5999999999999996"/>
    <n v="20"/>
    <n v="3.4"/>
    <n v="3.4"/>
    <n v="13"/>
    <m/>
    <m/>
    <n v="0"/>
    <n v="12087"/>
    <n v="7745"/>
    <n v="6138"/>
    <n v="12179.79"/>
    <n v="30974"/>
    <n v="7047.4083983451756"/>
    <n v="10601.259"/>
    <n v="8159.79"/>
    <n v="1555.51"/>
    <n v="0"/>
  </r>
  <r>
    <s v="פרדס חנה-כרכור"/>
    <s v="מועצה מקומית"/>
    <x v="1"/>
    <n v="15.342157964147901"/>
    <n v="45.32"/>
    <s v="-"/>
    <n v="44839.633369703428"/>
    <n v="21953"/>
    <n v="22887"/>
    <n v="7.7"/>
    <n v="9.8000000000000007"/>
    <n v="9.5"/>
    <n v="7.3"/>
    <n v="10.249776984834968"/>
    <n v="19.417930419268512"/>
    <n v="18.702051739518289"/>
    <n v="4.4000000000000004"/>
    <n v="12.9"/>
    <n v="31.6"/>
    <n v="5.2"/>
    <n v="310"/>
    <n v="1101"/>
    <n v="59.3"/>
    <n v="53.5"/>
    <n v="289"/>
    <n v="51.1"/>
    <n v="42.8"/>
    <n v="255"/>
    <x v="5"/>
    <x v="5"/>
    <x v="3"/>
    <n v="2.5"/>
    <n v="69.448002249226832"/>
    <n v="86.9"/>
    <n v="68.099999999999994"/>
    <n v="382"/>
    <n v="63.2"/>
    <n v="58.4"/>
    <n v="339"/>
    <m/>
    <m/>
    <n v="0"/>
    <n v="197536"/>
    <n v="116450"/>
    <n v="79606"/>
    <n v="96901"/>
    <n v="110946"/>
    <n v="6875.3015319768001"/>
    <n v="133793"/>
    <n v="90043"/>
    <n v="26318"/>
    <n v="7094"/>
  </r>
  <r>
    <s v="פרדסייה"/>
    <s v="מועצה מקומית"/>
    <x v="1"/>
    <n v="16.140642303433001"/>
    <n v="55.25"/>
    <s v="-"/>
    <n v="7421.1343969221425"/>
    <n v="3759"/>
    <n v="3662"/>
    <n v="8.4"/>
    <n v="9.8000000000000007"/>
    <n v="8.1999999999999993"/>
    <n v="6.8"/>
    <n v="10.847594663791941"/>
    <n v="20.307236221533486"/>
    <n v="17.019269640210215"/>
    <n v="5.6"/>
    <n v="13"/>
    <n v="30.7"/>
    <n v="3.2"/>
    <n v="99"/>
    <n v="177"/>
    <n v="6.4"/>
    <n v="4.2"/>
    <n v="16"/>
    <n v="7"/>
    <n v="7"/>
    <n v="32"/>
    <x v="7"/>
    <x v="8"/>
    <x v="3"/>
    <n v="0"/>
    <n v="76.476738107684255"/>
    <n v="16"/>
    <n v="15.8"/>
    <n v="68"/>
    <n v="2.6"/>
    <n v="2.6"/>
    <n v="9"/>
    <m/>
    <m/>
    <n v="0"/>
    <n v="32568"/>
    <n v="21950"/>
    <n v="20340"/>
    <n v="23091.2752"/>
    <n v="19317"/>
    <n v="6959.4296690570827"/>
    <n v="23736.206999999999"/>
    <n v="22001.043000000001"/>
    <n v="1481.279"/>
    <n v="0"/>
  </r>
  <r>
    <s v="קדומים"/>
    <s v="מועצה מקומית"/>
    <x v="1"/>
    <n v="16.002379535990482"/>
    <n v="56.2"/>
    <s v="-"/>
    <n v="4547.755322040678"/>
    <n v="2242"/>
    <n v="2306"/>
    <n v="10.8"/>
    <n v="13.1"/>
    <n v="14.4"/>
    <n v="9.6999999999999993"/>
    <n v="12.642919964819702"/>
    <n v="16.512752858399296"/>
    <n v="10.773966578715919"/>
    <n v="2.8"/>
    <n v="9.1999999999999993"/>
    <n v="44.6"/>
    <n v="2.7"/>
    <n v="-90"/>
    <n v="63"/>
    <s v="-"/>
    <s v="-"/>
    <s v="-"/>
    <s v="-"/>
    <s v="-"/>
    <s v="-"/>
    <x v="2"/>
    <x v="2"/>
    <x v="0"/>
    <n v="0.9"/>
    <n v="76.02209944751381"/>
    <n v="2.5"/>
    <n v="2.5"/>
    <n v="5"/>
    <n v="2.2999999999999998"/>
    <n v="2.2999999999999998"/>
    <n v="9"/>
    <m/>
    <m/>
    <n v="1100"/>
    <n v="25808"/>
    <n v="12703"/>
    <n v="7008"/>
    <n v="7862.692"/>
    <n v="36693"/>
    <n v="13979.863800471921"/>
    <n v="12342.837"/>
    <n v="7827.58"/>
    <n v="811.32"/>
    <n v="2259.1669999999999"/>
  </r>
  <r>
    <s v="קדימה-צורן"/>
    <s v="מועצה מקומית"/>
    <x v="1"/>
    <n v="15.205337844187577"/>
    <n v="52.34"/>
    <s v="-"/>
    <n v="23220.251189845898"/>
    <n v="11590"/>
    <n v="11630"/>
    <n v="6.6"/>
    <n v="8.6999999999999993"/>
    <n v="9.9"/>
    <n v="9.1"/>
    <n v="13.01464254952627"/>
    <n v="16.003445305770885"/>
    <n v="21.65374677002584"/>
    <n v="5.3"/>
    <n v="9.6999999999999993"/>
    <n v="30.9"/>
    <n v="3.8"/>
    <n v="130"/>
    <n v="274"/>
    <n v="27.1"/>
    <n v="10.4"/>
    <n v="32"/>
    <n v="19.7"/>
    <n v="18.7"/>
    <n v="78"/>
    <x v="6"/>
    <x v="7"/>
    <x v="3"/>
    <n v="1.4"/>
    <n v="74.215898546241874"/>
    <n v="27.8"/>
    <n v="26.6"/>
    <n v="115"/>
    <n v="65.099999999999994"/>
    <n v="63.2"/>
    <n v="335"/>
    <m/>
    <m/>
    <n v="0"/>
    <n v="90364"/>
    <n v="61355"/>
    <n v="50108"/>
    <n v="57457.364999999998"/>
    <n v="74306"/>
    <n v="7218.6988258464407"/>
    <n v="68590.831999999995"/>
    <n v="55449.364999999998"/>
    <n v="9832.5619999999999"/>
    <n v="1572.8789999999999"/>
  </r>
  <r>
    <s v="קצרין"/>
    <s v="מועצה מקומית"/>
    <x v="1"/>
    <n v="17.590361445783131"/>
    <n v="22.21"/>
    <s v="-"/>
    <n v="7876.4107715332138"/>
    <n v="3850"/>
    <n v="4027"/>
    <n v="7.2"/>
    <n v="8.1"/>
    <n v="8.6"/>
    <n v="7.1"/>
    <n v="13.357034027425088"/>
    <n v="17.166074149314372"/>
    <n v="16.899441340782122"/>
    <n v="5.6"/>
    <n v="16"/>
    <n v="27.7"/>
    <n v="6.2"/>
    <n v="200"/>
    <n v="277"/>
    <n v="6.4"/>
    <n v="5.7"/>
    <n v="32"/>
    <n v="9.8000000000000007"/>
    <n v="7.1"/>
    <n v="39"/>
    <x v="2"/>
    <x v="2"/>
    <x v="4"/>
    <n v="3.3"/>
    <n v="54.54545454545454"/>
    <n v="11.5"/>
    <n v="2.5"/>
    <n v="9"/>
    <n v="5.7"/>
    <n v="3.8"/>
    <n v="15"/>
    <m/>
    <m/>
    <n v="0"/>
    <n v="29750"/>
    <n v="18722"/>
    <n v="9007"/>
    <n v="9364.1049999999996"/>
    <n v="58517"/>
    <n v="10891.636112993227"/>
    <n v="22294.68"/>
    <n v="11659.105"/>
    <n v="3729.9009999999998"/>
    <n v="3031.489"/>
  </r>
  <r>
    <s v="קריית ארבע"/>
    <s v="מועצה מקומית"/>
    <x v="1"/>
    <n v="16.810493614083537"/>
    <n v="30.38"/>
    <s v="-"/>
    <n v="7489.8702627162556"/>
    <n v="3743"/>
    <n v="3747"/>
    <n v="12.2"/>
    <n v="11.2"/>
    <n v="11.4"/>
    <n v="9.8000000000000007"/>
    <n v="16.942590120160215"/>
    <n v="15.393858477970626"/>
    <n v="10.026702269692924"/>
    <n v="3.4"/>
    <n v="9.6999999999999993"/>
    <n v="41.1"/>
    <n v="3.9"/>
    <n v="-133"/>
    <n v="131"/>
    <s v="-"/>
    <s v="-"/>
    <s v="-"/>
    <s v="-"/>
    <s v="-"/>
    <s v="-"/>
    <x v="1"/>
    <x v="1"/>
    <x v="1"/>
    <n v="1.5"/>
    <n v="66.280016280016284"/>
    <n v="0.3"/>
    <n v="0.3"/>
    <s v="-"/>
    <n v="0.2"/>
    <n v="0.2"/>
    <s v="-"/>
    <m/>
    <m/>
    <n v="0"/>
    <n v="25206"/>
    <n v="9793"/>
    <n v="6814"/>
    <n v="8452.86"/>
    <n v="63384"/>
    <n v="11803.408723923467"/>
    <n v="11916.28"/>
    <n v="8302.86"/>
    <n v="1659.37"/>
    <n v="567.63"/>
  </r>
  <r>
    <s v="קריית טבעון"/>
    <s v="מועצה מקומית"/>
    <x v="1"/>
    <n v="13.072494111489139"/>
    <n v="58.28"/>
    <s v="-"/>
    <n v="19179.783355681298"/>
    <n v="9210"/>
    <n v="9970"/>
    <n v="5.9"/>
    <n v="6.8"/>
    <n v="8"/>
    <n v="7.8"/>
    <n v="10.901981230448383"/>
    <n v="16.444212721584982"/>
    <n v="19.061522419186652"/>
    <n v="5"/>
    <n v="20.100000000000001"/>
    <n v="25.4"/>
    <n v="9.4"/>
    <n v="656"/>
    <n v="347"/>
    <n v="44.2"/>
    <n v="42.9"/>
    <n v="229"/>
    <n v="26.5"/>
    <n v="25.9"/>
    <n v="144"/>
    <x v="6"/>
    <x v="7"/>
    <x v="0"/>
    <n v="0.1"/>
    <n v="67.451197563339335"/>
    <n v="22.2"/>
    <n v="21.9"/>
    <n v="65"/>
    <n v="19.7"/>
    <n v="19.600000000000001"/>
    <n v="83"/>
    <m/>
    <m/>
    <n v="0"/>
    <n v="100496"/>
    <n v="68144"/>
    <n v="40519"/>
    <n v="43421"/>
    <n v="31004"/>
    <n v="6854.9783676808229"/>
    <n v="81389"/>
    <n v="44763"/>
    <n v="6801"/>
    <n v="0"/>
  </r>
  <r>
    <s v="קריית יערים"/>
    <s v="מועצה מקומית"/>
    <x v="1"/>
    <n v="7.1329319129226496"/>
    <n v="19.96"/>
    <s v="-"/>
    <n v="6555.4703444866327"/>
    <n v="3440"/>
    <n v="3116"/>
    <n v="18.3"/>
    <n v="15.4"/>
    <n v="12"/>
    <n v="10.5"/>
    <n v="15.560640732265446"/>
    <n v="16.613272311212814"/>
    <n v="6.0106788710907706"/>
    <n v="2"/>
    <n v="3.6"/>
    <n v="52.5"/>
    <n v="1.3"/>
    <n v="-143"/>
    <n v="74"/>
    <n v="0.3"/>
    <n v="0.3"/>
    <s v="-"/>
    <n v="6.8"/>
    <n v="0.7"/>
    <n v="1"/>
    <x v="0"/>
    <x v="0"/>
    <x v="3"/>
    <n v="0"/>
    <n v="77.803203661327231"/>
    <n v="1.8"/>
    <n v="1.8"/>
    <n v="12"/>
    <n v="7.8"/>
    <n v="7.8"/>
    <n v="49"/>
    <m/>
    <m/>
    <n v="0"/>
    <n v="18725"/>
    <n v="8324"/>
    <n v="7400"/>
    <n v="8927.6766000000007"/>
    <n v="31775"/>
    <n v="7694.1847570740465"/>
    <n v="9714.6560000000009"/>
    <n v="8676.8889999999992"/>
    <n v="1037.7670000000001"/>
    <n v="0"/>
  </r>
  <r>
    <s v="קריית עקרון"/>
    <s v="מועצה מקומית"/>
    <x v="1"/>
    <n v="12.588060808305524"/>
    <n v="18.329999999999998"/>
    <s v="-"/>
    <n v="10993.320449429642"/>
    <n v="5374"/>
    <n v="5620"/>
    <n v="7.8"/>
    <n v="8.3000000000000007"/>
    <n v="7.3"/>
    <n v="6.5"/>
    <n v="14.045301555535342"/>
    <n v="18.611843900664059"/>
    <n v="16.919858091512783"/>
    <n v="5.3"/>
    <n v="15.2"/>
    <n v="27.3"/>
    <n v="5.8"/>
    <n v="-133"/>
    <n v="231"/>
    <n v="2.9"/>
    <n v="2.6"/>
    <n v="11"/>
    <n v="1.4"/>
    <n v="1.3"/>
    <n v="4"/>
    <x v="2"/>
    <x v="3"/>
    <x v="5"/>
    <n v="6.8"/>
    <n v="72.669439686811842"/>
    <n v="6.1"/>
    <n v="2.6"/>
    <n v="10"/>
    <n v="3.4"/>
    <n v="3.1"/>
    <n v="16"/>
    <m/>
    <m/>
    <n v="0"/>
    <n v="65519"/>
    <n v="49654"/>
    <n v="14043"/>
    <n v="16159.3"/>
    <n v="30747"/>
    <n v="8700.5559821520928"/>
    <n v="53213.38"/>
    <n v="17632.8"/>
    <n v="25106.47"/>
    <n v="1267.9100000000001"/>
  </r>
  <r>
    <s v="קרני שומרון"/>
    <s v="מועצה מקומית"/>
    <x v="1"/>
    <n v="16.384579219558063"/>
    <n v="44.38"/>
    <s v="-"/>
    <n v="9920.3926781263544"/>
    <n v="5063"/>
    <n v="4857"/>
    <n v="12.2"/>
    <n v="12.4"/>
    <n v="10.1"/>
    <n v="8.5"/>
    <n v="13.991935483870968"/>
    <n v="19.495967741935484"/>
    <n v="10.090725806451612"/>
    <n v="4.2"/>
    <n v="9.1"/>
    <n v="39.799999999999997"/>
    <n v="2.6"/>
    <n v="-19"/>
    <n v="184"/>
    <n v="19.7"/>
    <n v="19.100000000000001"/>
    <n v="133"/>
    <n v="6.2"/>
    <n v="3.9"/>
    <n v="11"/>
    <x v="3"/>
    <x v="3"/>
    <x v="0"/>
    <n v="1.1000000000000001"/>
    <n v="73.545792079207914"/>
    <n v="18.600000000000001"/>
    <n v="18"/>
    <n v="110"/>
    <n v="4.2"/>
    <n v="3.1"/>
    <n v="10"/>
    <m/>
    <m/>
    <n v="0"/>
    <n v="48727"/>
    <n v="17744"/>
    <n v="13568"/>
    <n v="16306"/>
    <n v="72061"/>
    <n v="12494.66669533192"/>
    <n v="20798"/>
    <n v="16109"/>
    <n v="1000"/>
    <n v="1761"/>
  </r>
  <r>
    <s v="ראמה"/>
    <s v="מועצה מקומית"/>
    <x v="0"/>
    <n v="13.186813186813188"/>
    <n v="24.52"/>
    <n v="99.8"/>
    <n v="7798.2547819103866"/>
    <n v="3914"/>
    <n v="3884"/>
    <n v="6.7"/>
    <n v="7.5"/>
    <n v="7.2"/>
    <n v="7.4"/>
    <n v="16.606822262118492"/>
    <n v="20.441138753526545"/>
    <n v="17.684021543985637"/>
    <n v="4.7"/>
    <n v="11.8"/>
    <n v="25.5"/>
    <n v="5"/>
    <n v="-39"/>
    <n v="189"/>
    <n v="6.9"/>
    <n v="3.2"/>
    <n v="14"/>
    <n v="1.5"/>
    <n v="0.6"/>
    <n v="3"/>
    <x v="2"/>
    <x v="2"/>
    <x v="1"/>
    <n v="0.8"/>
    <n v="55.278369333738972"/>
    <n v="6.9"/>
    <n v="5.8"/>
    <n v="19"/>
    <n v="4.3"/>
    <n v="3.6"/>
    <n v="16"/>
    <m/>
    <m/>
    <n v="0"/>
    <n v="16131"/>
    <n v="8415"/>
    <n v="6031"/>
    <n v="12803"/>
    <n v="47414"/>
    <n v="8130.2806554966164"/>
    <n v="15458"/>
    <n v="12592"/>
    <n v="1761"/>
    <n v="223"/>
  </r>
  <r>
    <s v="ראש פינה"/>
    <s v="מועצה מקומית"/>
    <x v="1"/>
    <n v="15.12770137524558"/>
    <n v="42.61"/>
    <s v="-"/>
    <n v="3308.4310415192081"/>
    <n v="1632"/>
    <n v="1676"/>
    <n v="6.6"/>
    <n v="7.6"/>
    <n v="8.1"/>
    <n v="7.4"/>
    <n v="13.75453446191052"/>
    <n v="16.444981862152357"/>
    <n v="18.319226118500602"/>
    <n v="4.7"/>
    <n v="17.100000000000001"/>
    <n v="27"/>
    <n v="5.5"/>
    <n v="22"/>
    <n v="74"/>
    <n v="4.5999999999999996"/>
    <n v="3.2"/>
    <n v="16"/>
    <n v="10.7"/>
    <n v="4.5"/>
    <n v="25"/>
    <x v="5"/>
    <x v="5"/>
    <x v="8"/>
    <n v="2"/>
    <n v="66.139865665744765"/>
    <n v="7.5"/>
    <n v="6.5"/>
    <n v="29"/>
    <n v="6.8"/>
    <n v="3.3"/>
    <n v="13"/>
    <m/>
    <m/>
    <n v="0"/>
    <n v="45304"/>
    <n v="30897"/>
    <n v="5259"/>
    <n v="6160.7939999999999"/>
    <n v="8180"/>
    <n v="16157.205433380845"/>
    <n v="29721.45"/>
    <n v="6778.7939999999999"/>
    <n v="7626.174"/>
    <n v="8346.0910000000003"/>
  </r>
  <r>
    <s v="ריינה"/>
    <s v="מועצה מקומית"/>
    <x v="0"/>
    <n v="13.004648886713971"/>
    <n v="11.75"/>
    <n v="99.9"/>
    <n v="19397.284079147521"/>
    <n v="9901"/>
    <n v="9496"/>
    <n v="8.6999999999999993"/>
    <n v="8.9"/>
    <n v="9.3000000000000007"/>
    <n v="9.1999999999999993"/>
    <n v="18.580192813321649"/>
    <n v="18.533793885652418"/>
    <n v="15.883899572098779"/>
    <n v="4.0999999999999996"/>
    <n v="6.8"/>
    <n v="32.200000000000003"/>
    <n v="2.2000000000000002"/>
    <n v="-75"/>
    <n v="258"/>
    <n v="32.9"/>
    <n v="26.3"/>
    <n v="100"/>
    <n v="43.6"/>
    <n v="32.9"/>
    <n v="126"/>
    <x v="1"/>
    <x v="1"/>
    <x v="0"/>
    <n v="1.2"/>
    <n v="52.788694706915294"/>
    <n v="20.399999999999999"/>
    <n v="18.7"/>
    <n v="80"/>
    <n v="31"/>
    <n v="24.2"/>
    <n v="112"/>
    <m/>
    <m/>
    <n v="0"/>
    <n v="38978"/>
    <n v="18840"/>
    <n v="12321"/>
    <n v="31934"/>
    <n v="84187"/>
    <n v="6382.2336928645282"/>
    <n v="42329"/>
    <n v="33012"/>
    <n v="5407"/>
    <n v="1845"/>
  </r>
  <r>
    <s v="רכסים"/>
    <s v="מועצה מקומית"/>
    <x v="1"/>
    <n v="13.120813120813121"/>
    <n v="9.84"/>
    <s v="-"/>
    <n v="14197.695330991972"/>
    <n v="7361"/>
    <n v="6837"/>
    <n v="17.5"/>
    <n v="15.2"/>
    <n v="11.4"/>
    <n v="10.3"/>
    <n v="16.086772784899281"/>
    <n v="15.037329201295957"/>
    <n v="7.9377377095365551"/>
    <n v="2"/>
    <n v="4.5"/>
    <n v="50"/>
    <n v="1.5"/>
    <n v="-14"/>
    <n v="264"/>
    <n v="60.9"/>
    <n v="60.5"/>
    <n v="405"/>
    <n v="8.4"/>
    <n v="8.4"/>
    <n v="72"/>
    <x v="0"/>
    <x v="0"/>
    <x v="0"/>
    <n v="0"/>
    <n v="84.212790364209923"/>
    <n v="13.4"/>
    <n v="7.3"/>
    <n v="53"/>
    <n v="8.5"/>
    <n v="4.5999999999999996"/>
    <n v="26"/>
    <m/>
    <m/>
    <n v="0"/>
    <n v="23413"/>
    <n v="5749"/>
    <n v="5319"/>
    <n v="9796.107"/>
    <n v="51162"/>
    <n v="5475.1844005493795"/>
    <n v="12383.322"/>
    <n v="11263.107"/>
    <n v="508.99400000000003"/>
    <n v="4.4530000000000003"/>
  </r>
  <r>
    <s v="רמת ישי"/>
    <s v="מועצה מקומית"/>
    <x v="1"/>
    <n v="12.466559657570892"/>
    <n v="56.87"/>
    <s v="-"/>
    <n v="8119.7068378641961"/>
    <n v="3998"/>
    <n v="4122"/>
    <n v="6.9"/>
    <n v="8.8000000000000007"/>
    <n v="8.1"/>
    <n v="7.8"/>
    <n v="12.167487684729064"/>
    <n v="17.536945812807883"/>
    <n v="17.401477832512317"/>
    <n v="5.6"/>
    <n v="15.6"/>
    <n v="28.8"/>
    <n v="4.4000000000000004"/>
    <n v="9"/>
    <n v="202"/>
    <n v="5"/>
    <n v="5"/>
    <n v="26"/>
    <n v="26.6"/>
    <n v="7.6"/>
    <n v="40"/>
    <x v="6"/>
    <x v="7"/>
    <x v="9"/>
    <n v="0"/>
    <n v="72.68949468085107"/>
    <n v="10.199999999999999"/>
    <n v="7.3"/>
    <n v="31"/>
    <n v="36.200000000000003"/>
    <n v="9.4"/>
    <n v="45"/>
    <m/>
    <m/>
    <n v="0"/>
    <n v="33988"/>
    <n v="24197"/>
    <n v="16771"/>
    <n v="18370.066999999999"/>
    <n v="14907"/>
    <n v="6013.887074381676"/>
    <n v="28056.3"/>
    <n v="19658.066999999999"/>
    <n v="6482.9579999999996"/>
    <n v="0"/>
  </r>
  <r>
    <s v="שבלי - אום אל-גנם"/>
    <s v="מועצה מקומית"/>
    <x v="0"/>
    <n v="14.621676891615543"/>
    <n v="14.1"/>
    <n v="99.9"/>
    <n v="6369.7414229502792"/>
    <n v="3206"/>
    <n v="3164"/>
    <n v="9"/>
    <n v="9.4"/>
    <n v="10.7"/>
    <n v="10.199999999999999"/>
    <n v="17.456828885400313"/>
    <n v="17.488226059654632"/>
    <n v="16.357927786499214"/>
    <n v="3.1"/>
    <n v="6.3"/>
    <n v="34.9"/>
    <n v="2.4"/>
    <n v="-8"/>
    <n v="127"/>
    <n v="7.6"/>
    <n v="7.6"/>
    <n v="30"/>
    <n v="2.6"/>
    <n v="1.8"/>
    <n v="7"/>
    <x v="1"/>
    <x v="1"/>
    <x v="1"/>
    <n v="0"/>
    <n v="50.043975373790673"/>
    <n v="5.8"/>
    <n v="4.0999999999999996"/>
    <n v="21"/>
    <n v="5.4"/>
    <n v="5.4"/>
    <n v="23"/>
    <m/>
    <m/>
    <n v="0"/>
    <n v="10141"/>
    <n v="5176"/>
    <n v="4890"/>
    <n v="14441.3541"/>
    <n v="42657"/>
    <n v="8455.445272228033"/>
    <n v="7086.8667999999998"/>
    <n v="6851.7040999999999"/>
    <n v="174.51990000000001"/>
    <n v="34.171399999999998"/>
  </r>
  <r>
    <s v="שגב-שלום"/>
    <s v="מועצה מקומית"/>
    <x v="0"/>
    <n v="10.164909434982427"/>
    <n v="8.6300000000000008"/>
    <n v="99.9"/>
    <n v="12539.963492679628"/>
    <n v="6339"/>
    <n v="6201"/>
    <n v="17.100000000000001"/>
    <n v="14"/>
    <n v="12.1"/>
    <n v="11.7"/>
    <n v="19.226475279106857"/>
    <n v="14.266347687400319"/>
    <n v="8.2057416267942571"/>
    <n v="1.4"/>
    <n v="2.1"/>
    <n v="50"/>
    <n v="0.7"/>
    <n v="239"/>
    <n v="176"/>
    <n v="20.3"/>
    <n v="11.6"/>
    <n v="52"/>
    <n v="12.4"/>
    <n v="9.6"/>
    <n v="36"/>
    <x v="8"/>
    <x v="6"/>
    <x v="1"/>
    <n v="1.5"/>
    <n v="53.265002479748723"/>
    <n v="7.7"/>
    <n v="6.8"/>
    <n v="34"/>
    <n v="9.1999999999999993"/>
    <n v="7.8"/>
    <n v="36"/>
    <m/>
    <m/>
    <n v="0"/>
    <n v="22047"/>
    <n v="7087"/>
    <n v="2559"/>
    <n v="15416.92"/>
    <n v="82862"/>
    <n v="8362.6240268735655"/>
    <n v="12627.38"/>
    <n v="7810.92"/>
    <n v="1390.2"/>
    <n v="0"/>
  </r>
  <r>
    <s v="שוהם"/>
    <s v="מועצה מקומית"/>
    <x v="1"/>
    <n v="14.581159282800494"/>
    <n v="62.17"/>
    <s v="-"/>
    <n v="22730.890137267827"/>
    <n v="11238"/>
    <n v="11493"/>
    <n v="6.3"/>
    <n v="6.9"/>
    <n v="8.1"/>
    <n v="9.6"/>
    <n v="16.453301658528002"/>
    <n v="14.090889094188553"/>
    <n v="23.16220139897057"/>
    <n v="6.4"/>
    <n v="8.9"/>
    <n v="27.1"/>
    <n v="3.1"/>
    <n v="1130"/>
    <n v="483"/>
    <n v="48.2"/>
    <n v="8.4"/>
    <n v="59"/>
    <n v="131.4"/>
    <n v="93.9"/>
    <n v="647"/>
    <x v="7"/>
    <x v="8"/>
    <x v="5"/>
    <n v="2.4"/>
    <n v="76.037868987416203"/>
    <n v="57.9"/>
    <n v="22"/>
    <n v="104"/>
    <n v="7.1"/>
    <n v="7.1"/>
    <n v="29"/>
    <m/>
    <m/>
    <n v="0"/>
    <n v="106506"/>
    <n v="77560"/>
    <n v="48560"/>
    <n v="53473.199968071902"/>
    <n v="75276"/>
    <n v="7949.7546690320733"/>
    <n v="81433"/>
    <n v="49969"/>
    <n v="16334"/>
    <n v="9516"/>
  </r>
  <r>
    <s v="שלומי"/>
    <s v="מועצה מקומית"/>
    <x v="1"/>
    <n v="14.543436025534277"/>
    <n v="22.03"/>
    <s v="-"/>
    <n v="7446.366354398082"/>
    <n v="3768"/>
    <n v="3678"/>
    <n v="7.4"/>
    <n v="8.1"/>
    <n v="8.3000000000000007"/>
    <n v="7.2"/>
    <n v="13.376309427880742"/>
    <n v="18.708031157668547"/>
    <n v="19.594413107708835"/>
    <n v="5.0999999999999996"/>
    <n v="12.1"/>
    <n v="28.1"/>
    <n v="4.7"/>
    <n v="337"/>
    <n v="220"/>
    <n v="21.7"/>
    <n v="15.3"/>
    <n v="68"/>
    <n v="16.8"/>
    <n v="16.8"/>
    <n v="85"/>
    <x v="3"/>
    <x v="3"/>
    <x v="1"/>
    <n v="5.5"/>
    <n v="66.468489892984536"/>
    <n v="8.3000000000000007"/>
    <n v="2.8"/>
    <n v="15"/>
    <n v="3.3"/>
    <n v="3.3"/>
    <n v="15"/>
    <m/>
    <m/>
    <n v="0"/>
    <n v="37672"/>
    <n v="24220"/>
    <n v="9778"/>
    <n v="16127.915999999999"/>
    <n v="31164"/>
    <n v="9589.7779670514556"/>
    <n v="28673.51"/>
    <n v="12355.73"/>
    <n v="2118.5"/>
    <n v="8805.2999999999993"/>
  </r>
  <r>
    <s v="שעב"/>
    <s v="מועצה מקומית"/>
    <x v="0"/>
    <n v="12.857142857142856"/>
    <n v="13.39"/>
    <n v="100"/>
    <n v="7468.8111273176564"/>
    <n v="3758"/>
    <n v="3711"/>
    <n v="9.6999999999999993"/>
    <n v="9.4"/>
    <n v="8.6"/>
    <n v="8.9"/>
    <n v="18.570089704110323"/>
    <n v="19.975900388271523"/>
    <n v="16.535011380372204"/>
    <n v="3.4"/>
    <n v="4.8"/>
    <n v="32.5"/>
    <n v="1.8"/>
    <n v="-38"/>
    <n v="180"/>
    <n v="4.3"/>
    <n v="3.7"/>
    <n v="21"/>
    <n v="7.2"/>
    <n v="7.2"/>
    <n v="41"/>
    <x v="1"/>
    <x v="0"/>
    <x v="1"/>
    <n v="0.4"/>
    <n v="63.59824661711454"/>
    <n v="9.5"/>
    <n v="5.8"/>
    <n v="31"/>
    <n v="5.8"/>
    <n v="5.3"/>
    <n v="27"/>
    <m/>
    <m/>
    <n v="0"/>
    <n v="11886"/>
    <n v="6597"/>
    <n v="4515"/>
    <n v="12289.291999999999"/>
    <n v="48800"/>
    <n v="8182.292865390441"/>
    <n v="10594.28"/>
    <n v="8119.14"/>
    <n v="836.44"/>
    <n v="775.55"/>
  </r>
  <r>
    <s v="שער שומרון"/>
    <s v="מועצה מקומית"/>
    <x v="1"/>
    <s v=".."/>
    <n v="47.3"/>
    <s v="-"/>
    <n v="8819.6797882105657"/>
    <n v="4459"/>
    <n v="4361"/>
    <n v="8.8000000000000007"/>
    <n v="11.3"/>
    <n v="12.2"/>
    <n v="8.4"/>
    <n v="12.301587301587301"/>
    <n v="19.682539682539684"/>
    <n v="15.476190476190476"/>
    <n v="3.7"/>
    <n v="8.1"/>
    <n v="37.9"/>
    <n v="2.9"/>
    <n v="98"/>
    <s v=".."/>
    <n v="9.1999999999999993"/>
    <n v="9.1999999999999993"/>
    <n v="52"/>
    <n v="9.3000000000000007"/>
    <n v="9.3000000000000007"/>
    <n v="37"/>
    <x v="10"/>
    <x v="10"/>
    <x v="10"/>
    <s v=".."/>
    <s v=".."/>
    <n v="16.3"/>
    <n v="12.5"/>
    <n v="53"/>
    <n v="21.2"/>
    <n v="21"/>
    <n v="94"/>
    <m/>
    <m/>
    <n v="0"/>
    <n v="17669"/>
    <n v="8636"/>
    <n v="8396"/>
    <n v="12559"/>
    <n v="11698"/>
    <n v="3719.2960274871202"/>
    <n v="9689"/>
    <n v="9229"/>
    <n v="101"/>
    <n v="0"/>
  </r>
  <r>
    <s v="תל מונד"/>
    <s v="מועצה מקומית"/>
    <x v="1"/>
    <n v="13.864712169796917"/>
    <n v="57.07"/>
    <s v="-"/>
    <n v="14477.490832834917"/>
    <n v="7284"/>
    <n v="7193"/>
    <n v="6.7"/>
    <n v="9.3000000000000007"/>
    <n v="9.9"/>
    <n v="9.6"/>
    <n v="13.096636043379153"/>
    <n v="15.417558886509635"/>
    <n v="22.760240381294466"/>
    <n v="4"/>
    <n v="9.3000000000000007"/>
    <n v="31.7"/>
    <n v="3.1"/>
    <n v="213"/>
    <n v="334"/>
    <n v="46.1"/>
    <n v="43.1"/>
    <n v="206"/>
    <n v="23.3"/>
    <n v="23.2"/>
    <n v="117"/>
    <x v="7"/>
    <x v="8"/>
    <x v="3"/>
    <n v="0.3"/>
    <n v="74.727481353987386"/>
    <n v="4.3"/>
    <n v="3.3"/>
    <n v="17"/>
    <n v="4.3"/>
    <n v="4.3"/>
    <n v="22"/>
    <m/>
    <m/>
    <n v="0"/>
    <n v="55189"/>
    <n v="40714"/>
    <n v="34321"/>
    <n v="34999"/>
    <n v="54746"/>
    <n v="7591.0253557715478"/>
    <n v="43728"/>
    <n v="37181"/>
    <n v="3637"/>
    <n v="0"/>
  </r>
  <r>
    <s v="תל שבע"/>
    <s v="מועצה מקומית"/>
    <x v="0"/>
    <n v="13.670156273706569"/>
    <n v="9.06"/>
    <n v="99.8"/>
    <n v="22848.80442551677"/>
    <n v="11385"/>
    <n v="11464"/>
    <n v="17.5"/>
    <n v="14.4"/>
    <n v="12.8"/>
    <n v="12"/>
    <n v="18.565363910893257"/>
    <n v="13.847433148058997"/>
    <n v="7.6414722744977901"/>
    <n v="1.3"/>
    <n v="2"/>
    <n v="51.7"/>
    <n v="0.6"/>
    <n v="-212"/>
    <n v="294"/>
    <n v="10"/>
    <n v="9.6"/>
    <n v="43"/>
    <n v="3.1"/>
    <n v="3.1"/>
    <n v="12"/>
    <x v="8"/>
    <x v="6"/>
    <x v="1"/>
    <n v="0.3"/>
    <n v="53.306466385784944"/>
    <m/>
    <m/>
    <m/>
    <m/>
    <m/>
    <m/>
    <m/>
    <m/>
    <n v="0"/>
    <n v="14309"/>
    <n v="2364"/>
    <n v="2157"/>
    <n v="55554"/>
    <n v="89317"/>
    <n v="4715.6077838222873"/>
    <n v="14418"/>
    <n v="13179"/>
    <n v="964"/>
    <n v="0"/>
  </r>
  <r>
    <s v="אל קסום"/>
    <s v="מועצה אזורית"/>
    <x v="0"/>
    <n v="10.80793007887444"/>
    <n v="7.9"/>
    <n v="99.6"/>
    <n v="18100.856646118078"/>
    <n v="9295"/>
    <n v="8806"/>
    <n v="19"/>
    <n v="12.9"/>
    <n v="11.2"/>
    <n v="10.4"/>
    <n v="19.026573117507318"/>
    <n v="15.66211811502127"/>
    <n v="8.2260648582951212"/>
    <n v="1.6"/>
    <n v="2"/>
    <n v="49.2"/>
    <n v="0.7"/>
    <n v="239"/>
    <n v="212"/>
    <n v="11.8"/>
    <n v="5.4"/>
    <n v="21"/>
    <n v="4.4000000000000004"/>
    <n v="1.7"/>
    <n v="7"/>
    <x v="8"/>
    <x v="6"/>
    <x v="1"/>
    <n v="0"/>
    <n v="53.17647058823529"/>
    <m/>
    <m/>
    <m/>
    <m/>
    <m/>
    <m/>
    <m/>
    <m/>
    <n v="0"/>
    <n v="20883"/>
    <n v="2850"/>
    <n v="10"/>
    <n v="84111.823000000004"/>
    <n v="175046"/>
    <n v="11746.460632049635"/>
    <n v="21186.388999999999"/>
    <n v="17475.823"/>
    <n v="593.52499999999998"/>
    <n v="48.406999999999996"/>
  </r>
  <r>
    <s v="אל-בטוף"/>
    <s v="מועצה אזורית"/>
    <x v="0"/>
    <n v="13.182177695755341"/>
    <n v="10.7"/>
    <n v="99.9"/>
    <n v="8565.0658924476011"/>
    <n v="4402"/>
    <n v="4163"/>
    <n v="11"/>
    <n v="10.1"/>
    <n v="9.1"/>
    <n v="9.5"/>
    <n v="20.408639813193226"/>
    <n v="18.260361938120255"/>
    <n v="13.952130764740222"/>
    <n v="3"/>
    <n v="4.7"/>
    <n v="35.5"/>
    <n v="1.6"/>
    <n v="-3"/>
    <n v="174"/>
    <n v="19.899999999999999"/>
    <n v="18.7"/>
    <n v="91"/>
    <n v="10.1"/>
    <n v="10"/>
    <n v="44"/>
    <x v="0"/>
    <x v="0"/>
    <x v="1"/>
    <n v="0"/>
    <n v="51.302535602639807"/>
    <m/>
    <m/>
    <m/>
    <m/>
    <m/>
    <m/>
    <m/>
    <m/>
    <n v="0"/>
    <n v="14961"/>
    <n v="5575"/>
    <n v="4670"/>
    <n v="8036"/>
    <n v="60052"/>
    <n v="8797.0134668127375"/>
    <n v="9312.9950000000008"/>
    <n v="8344"/>
    <n v="515.34"/>
    <n v="0"/>
  </r>
  <r>
    <s v="אלונה"/>
    <s v="מועצה אזורית"/>
    <x v="1"/>
    <n v="18.416030534351144"/>
    <n v="49.4"/>
    <s v="-"/>
    <n v="2260.8635246777576"/>
    <n v="1138"/>
    <n v="1123"/>
    <n v="6.1"/>
    <n v="9.6"/>
    <n v="10.4"/>
    <n v="8.6999999999999993"/>
    <n v="10.747456877487839"/>
    <n v="19.725785050862452"/>
    <n v="20.079610791685095"/>
    <n v="5.3"/>
    <n v="9.3000000000000007"/>
    <n v="31.5"/>
    <n v="2.6"/>
    <n v="-41"/>
    <n v="54"/>
    <n v="0.7"/>
    <n v="0.6"/>
    <n v="3"/>
    <n v="0.4"/>
    <n v="0.4"/>
    <n v="2"/>
    <x v="6"/>
    <x v="7"/>
    <x v="9"/>
    <n v="0"/>
    <n v="73.977936404931867"/>
    <m/>
    <m/>
    <m/>
    <m/>
    <m/>
    <m/>
    <m/>
    <m/>
    <n v="0"/>
    <n v="9055"/>
    <n v="3662"/>
    <n v="3491"/>
    <n v="4097.8024999999998"/>
    <n v="12156"/>
    <n v="9380.0442921571957"/>
    <n v="3795.8424"/>
    <n v="3504.8024999999998"/>
    <n v="218.61500000000001"/>
    <n v="5.7887000000000004"/>
  </r>
  <r>
    <s v="אשכול"/>
    <s v="מועצה אזורית"/>
    <x v="1"/>
    <n v="17.080359913124418"/>
    <n v="43"/>
    <s v="-"/>
    <n v="15336.200018614481"/>
    <n v="7938"/>
    <n v="7398"/>
    <n v="9.1999999999999993"/>
    <n v="10.9"/>
    <n v="10.1"/>
    <n v="9.4"/>
    <n v="11.339332290036515"/>
    <n v="18.78586332811685"/>
    <n v="14.599634846113718"/>
    <n v="3.6"/>
    <n v="12.1"/>
    <n v="35.5"/>
    <n v="4.9000000000000004"/>
    <s v="-"/>
    <n v="292"/>
    <n v="27.4"/>
    <n v="17.600000000000001"/>
    <n v="84"/>
    <n v="61.6"/>
    <n v="16.8"/>
    <n v="79"/>
    <x v="3"/>
    <x v="3"/>
    <x v="8"/>
    <n v="0.1"/>
    <n v="67.588187774885554"/>
    <m/>
    <m/>
    <m/>
    <m/>
    <m/>
    <m/>
    <m/>
    <m/>
    <n v="0"/>
    <n v="72266"/>
    <n v="44196"/>
    <n v="16752"/>
    <n v="19892"/>
    <n v="148477"/>
    <n v="14388.76643054737"/>
    <n v="57422"/>
    <n v="24054"/>
    <n v="5260"/>
    <n v="6602"/>
  </r>
  <r>
    <s v="באר טוביה"/>
    <s v="מועצה אזורית"/>
    <x v="1"/>
    <n v="13.891261030458299"/>
    <n v="43.1"/>
    <s v="-"/>
    <n v="23762.002027979994"/>
    <n v="11943"/>
    <n v="11819"/>
    <n v="8"/>
    <n v="9.1"/>
    <n v="9.1999999999999993"/>
    <n v="8.9"/>
    <n v="13.205959094352327"/>
    <n v="17.145021462839829"/>
    <n v="17.439609460483123"/>
    <n v="4.8"/>
    <n v="12.1"/>
    <n v="31.9"/>
    <n v="5"/>
    <n v="-248"/>
    <n v="524"/>
    <n v="19.399999999999999"/>
    <n v="8.9"/>
    <n v="31"/>
    <n v="14.1"/>
    <n v="5.5"/>
    <n v="20"/>
    <x v="5"/>
    <x v="5"/>
    <x v="3"/>
    <n v="1.7"/>
    <n v="76.864759109806798"/>
    <m/>
    <m/>
    <m/>
    <m/>
    <m/>
    <m/>
    <m/>
    <m/>
    <n v="0"/>
    <n v="274042"/>
    <n v="178446"/>
    <n v="37375"/>
    <n v="49325"/>
    <n v="64769"/>
    <n v="13919.071280717193"/>
    <n v="217903"/>
    <n v="42487"/>
    <n v="58204"/>
    <n v="71670"/>
  </r>
  <r>
    <s v="בוסתן אל-מרג'"/>
    <s v="מועצה אזורית"/>
    <x v="0"/>
    <n v="14.289264413518888"/>
    <n v="13.2"/>
    <n v="99.9"/>
    <n v="8254.7276124412092"/>
    <n v="4212"/>
    <n v="4043"/>
    <n v="9"/>
    <n v="8.1999999999999993"/>
    <n v="9"/>
    <n v="9.6"/>
    <n v="18.740157480314963"/>
    <n v="19.224712295578435"/>
    <n v="16.099333737129012"/>
    <n v="3.5"/>
    <n v="6.7"/>
    <n v="31.6"/>
    <n v="2.2999999999999998"/>
    <n v="-3"/>
    <n v="180"/>
    <n v="12.4"/>
    <n v="9.3000000000000007"/>
    <n v="43"/>
    <n v="2.7"/>
    <n v="2.7"/>
    <n v="11"/>
    <x v="1"/>
    <x v="1"/>
    <x v="1"/>
    <n v="0"/>
    <n v="51.934156378600825"/>
    <m/>
    <m/>
    <m/>
    <m/>
    <m/>
    <m/>
    <m/>
    <m/>
    <n v="0"/>
    <n v="15194"/>
    <n v="7267"/>
    <n v="6375"/>
    <n v="9457"/>
    <n v="33479"/>
    <n v="5991.2334267046945"/>
    <n v="12877"/>
    <n v="11828"/>
    <n v="662"/>
    <n v="0"/>
  </r>
  <r>
    <s v="בני שמעון"/>
    <s v="מועצה אזורית"/>
    <x v="1"/>
    <n v="12.038794012228546"/>
    <n v="66.099999999999994"/>
    <s v="-"/>
    <n v="11628.296079578928"/>
    <n v="5875"/>
    <n v="5753"/>
    <n v="8"/>
    <n v="11.7"/>
    <n v="12.5"/>
    <n v="10.1"/>
    <n v="10.311317509459924"/>
    <n v="18.773649810801512"/>
    <n v="16.787065703474372"/>
    <n v="3.1"/>
    <n v="8.6999999999999993"/>
    <n v="38.1"/>
    <n v="3.8"/>
    <n v="121"/>
    <n v="216"/>
    <n v="65.3"/>
    <n v="10.8"/>
    <n v="42"/>
    <n v="52"/>
    <n v="12.1"/>
    <n v="41"/>
    <x v="5"/>
    <x v="5"/>
    <x v="1"/>
    <n v="0.2"/>
    <n v="74.066693237677697"/>
    <m/>
    <m/>
    <m/>
    <m/>
    <m/>
    <m/>
    <m/>
    <m/>
    <n v="0"/>
    <n v="136919"/>
    <n v="55079"/>
    <n v="16207"/>
    <n v="17567"/>
    <n v="63498"/>
    <n v="17144.988279935445"/>
    <n v="66860"/>
    <n v="17823"/>
    <n v="14347"/>
    <n v="3376"/>
  </r>
  <r>
    <s v="ברנר"/>
    <s v="מועצה אזורית"/>
    <x v="1"/>
    <n v="12.815308785155116"/>
    <n v="61.7"/>
    <s v="-"/>
    <n v="8072.5731067514726"/>
    <n v="4035"/>
    <n v="4038"/>
    <n v="7.2"/>
    <n v="9.1999999999999993"/>
    <n v="9.9"/>
    <n v="8.8000000000000007"/>
    <n v="10.268797225318965"/>
    <n v="17.255047689830299"/>
    <n v="19.732441471571907"/>
    <n v="3.4"/>
    <n v="14.1"/>
    <n v="32"/>
    <n v="6.8"/>
    <n v="-83"/>
    <n v="122"/>
    <n v="8"/>
    <n v="7.4"/>
    <n v="38"/>
    <n v="8.5"/>
    <n v="3.1"/>
    <n v="14"/>
    <x v="6"/>
    <x v="7"/>
    <x v="5"/>
    <n v="0.7"/>
    <n v="75.420757363253855"/>
    <m/>
    <m/>
    <m/>
    <m/>
    <m/>
    <m/>
    <m/>
    <m/>
    <n v="0"/>
    <n v="49420"/>
    <n v="34110"/>
    <n v="12765"/>
    <n v="13083.53"/>
    <n v="48786"/>
    <n v="12165.389981772441"/>
    <n v="35064.67"/>
    <n v="14505.53"/>
    <n v="6217.69"/>
    <n v="3083.5"/>
  </r>
  <r>
    <s v="גדרות"/>
    <s v="מועצה אזורית"/>
    <x v="1"/>
    <n v="14.963167587476981"/>
    <n v="63"/>
    <s v="-"/>
    <n v="5200.6700442797755"/>
    <n v="2577"/>
    <n v="2623"/>
    <n v="5.9"/>
    <n v="7.9"/>
    <n v="10.9"/>
    <n v="8.8000000000000007"/>
    <n v="11.997692751393963"/>
    <n v="14.747164006921745"/>
    <n v="20.572966737165927"/>
    <n v="4.2"/>
    <n v="14.9"/>
    <n v="29.8"/>
    <n v="6.9"/>
    <n v="-31"/>
    <n v="98"/>
    <n v="4.0999999999999996"/>
    <n v="2.8"/>
    <n v="12"/>
    <n v="9.3000000000000007"/>
    <n v="1.2"/>
    <n v="4"/>
    <x v="7"/>
    <x v="8"/>
    <x v="3"/>
    <n v="0.9"/>
    <n v="74.945295404814004"/>
    <m/>
    <m/>
    <m/>
    <m/>
    <m/>
    <m/>
    <m/>
    <m/>
    <n v="0"/>
    <n v="32750"/>
    <n v="21820"/>
    <n v="12444"/>
    <n v="12920"/>
    <n v="11990"/>
    <n v="8598.6997097011554"/>
    <n v="22115.985000000001"/>
    <n v="13595"/>
    <n v="2715.8"/>
    <n v="2974"/>
  </r>
  <r>
    <s v="גולן"/>
    <s v="מועצה אזורית"/>
    <x v="1"/>
    <n v="17.353972669004715"/>
    <n v="47.6"/>
    <s v="-"/>
    <n v="20102.954721151975"/>
    <n v="10526"/>
    <n v="9577"/>
    <n v="9.6999999999999993"/>
    <n v="11.4"/>
    <n v="10.7"/>
    <n v="13.5"/>
    <n v="11.237128786748245"/>
    <n v="18.634034721185895"/>
    <n v="13.192060886434861"/>
    <n v="3.4"/>
    <n v="8.3000000000000007"/>
    <n v="39.5"/>
    <n v="1.6"/>
    <n v="566"/>
    <n v="503"/>
    <n v="55.2"/>
    <n v="43.6"/>
    <n v="205"/>
    <n v="37.299999999999997"/>
    <n v="25.1"/>
    <n v="115"/>
    <x v="3"/>
    <x v="3"/>
    <x v="4"/>
    <n v="0"/>
    <n v="68.603926456840142"/>
    <m/>
    <m/>
    <m/>
    <m/>
    <m/>
    <m/>
    <m/>
    <m/>
    <n v="0"/>
    <n v="87776"/>
    <n v="52213.9"/>
    <n v="22588.400000000001"/>
    <n v="27331.572"/>
    <n v="96822"/>
    <n v="9513.7258503977973"/>
    <n v="54114.074000000001"/>
    <n v="25907.075000000001"/>
    <n v="2384.4639999999999"/>
    <n v="3659.48"/>
  </r>
  <r>
    <s v="גוש עציון"/>
    <s v="מועצה אזורית"/>
    <x v="1"/>
    <n v="16.094420600858371"/>
    <n v="52.5"/>
    <s v="-"/>
    <n v="26503.385786014831"/>
    <n v="13649"/>
    <n v="12854"/>
    <n v="12.7"/>
    <n v="13.2"/>
    <n v="12.8"/>
    <n v="9.4"/>
    <n v="14.745500509376297"/>
    <n v="18.020601441346262"/>
    <n v="11.485492208429235"/>
    <n v="2.4"/>
    <n v="5.2"/>
    <n v="44.3"/>
    <n v="1.7"/>
    <n v="327"/>
    <n v="429"/>
    <n v="100.2"/>
    <n v="87.5"/>
    <n v="472"/>
    <n v="11.3"/>
    <n v="9.1"/>
    <n v="51"/>
    <x v="3"/>
    <x v="3"/>
    <x v="9"/>
    <s v=".."/>
    <n v="72.311722331368699"/>
    <m/>
    <m/>
    <m/>
    <m/>
    <m/>
    <m/>
    <m/>
    <m/>
    <n v="0"/>
    <n v="70454"/>
    <n v="42045"/>
    <n v="33567"/>
    <n v="36748"/>
    <n v="161579"/>
    <n v="8693.6062380973817"/>
    <n v="44119"/>
    <n v="34965"/>
    <n v="4056"/>
    <n v="686"/>
  </r>
  <r>
    <s v="גזר"/>
    <s v="מועצה אזורית"/>
    <x v="1"/>
    <n v="13.06119188368749"/>
    <n v="53.8"/>
    <s v="-"/>
    <n v="27729.676690334698"/>
    <n v="14226"/>
    <n v="13503"/>
    <n v="8.1"/>
    <n v="9.6999999999999993"/>
    <n v="9.9"/>
    <n v="8.8000000000000007"/>
    <n v="11.583122971510999"/>
    <n v="17.529751172015867"/>
    <n v="18.095924990984493"/>
    <n v="4.5"/>
    <n v="11.8"/>
    <n v="33.299999999999997"/>
    <n v="4.2"/>
    <n v="-157"/>
    <n v="519"/>
    <n v="23.6"/>
    <n v="13.5"/>
    <n v="42"/>
    <n v="32.200000000000003"/>
    <n v="16.2"/>
    <n v="67"/>
    <x v="6"/>
    <x v="7"/>
    <x v="3"/>
    <n v="0.3"/>
    <n v="77.208661015218055"/>
    <m/>
    <m/>
    <m/>
    <m/>
    <m/>
    <m/>
    <m/>
    <m/>
    <n v="0"/>
    <n v="162637"/>
    <n v="124519"/>
    <n v="48203"/>
    <n v="55298.45"/>
    <n v="72959"/>
    <n v="8429.7412699902106"/>
    <n v="117152.98"/>
    <n v="47838.45"/>
    <n v="16921.490000000002"/>
    <n v="23846.080000000002"/>
  </r>
  <r>
    <s v="גן רווה"/>
    <s v="מועצה אזורית"/>
    <x v="1"/>
    <n v="15.834182806659872"/>
    <n v="55.3"/>
    <s v="-"/>
    <n v="6575.1074214642276"/>
    <n v="3352"/>
    <n v="3223"/>
    <n v="7.6"/>
    <n v="8.3000000000000007"/>
    <n v="8.1999999999999993"/>
    <n v="9.6999999999999993"/>
    <n v="12.730038022813689"/>
    <n v="17.977186311787072"/>
    <n v="18.64638783269962"/>
    <n v="4.9000000000000004"/>
    <n v="12.1"/>
    <n v="30.1"/>
    <n v="5.5"/>
    <n v="1"/>
    <n v="124"/>
    <n v="9.1999999999999993"/>
    <n v="6.6"/>
    <n v="23"/>
    <n v="7.1"/>
    <n v="4.9000000000000004"/>
    <n v="18"/>
    <x v="6"/>
    <x v="7"/>
    <x v="5"/>
    <n v="0.5"/>
    <n v="73.354838709677423"/>
    <m/>
    <m/>
    <m/>
    <m/>
    <m/>
    <m/>
    <m/>
    <m/>
    <n v="0"/>
    <n v="37625"/>
    <n v="25334"/>
    <n v="10839"/>
    <n v="13197"/>
    <n v="10833"/>
    <n v="7341.6291028824262"/>
    <n v="35828"/>
    <n v="13059"/>
    <n v="7035"/>
    <n v="4819"/>
  </r>
  <r>
    <s v="דרום השרון"/>
    <s v="מועצה אזורית"/>
    <x v="1"/>
    <n v="15.465015644763996"/>
    <n v="53.6"/>
    <s v="-"/>
    <n v="34506.922615271935"/>
    <n v="17242"/>
    <n v="17265"/>
    <n v="7"/>
    <n v="9.8000000000000007"/>
    <n v="9.6"/>
    <n v="8.5"/>
    <n v="10.887645984872634"/>
    <n v="17.958675051438838"/>
    <n v="19.795983423653173"/>
    <n v="4.2"/>
    <n v="12.2"/>
    <n v="31.8"/>
    <n v="4.9000000000000004"/>
    <n v="-94"/>
    <n v="764"/>
    <n v="41.2"/>
    <n v="26.9"/>
    <n v="133"/>
    <n v="32.700000000000003"/>
    <n v="23"/>
    <n v="85"/>
    <x v="6"/>
    <x v="8"/>
    <x v="5"/>
    <n v="0.7"/>
    <n v="76.15066331100968"/>
    <m/>
    <m/>
    <m/>
    <m/>
    <m/>
    <m/>
    <m/>
    <m/>
    <n v="0"/>
    <n v="222583"/>
    <n v="114251"/>
    <n v="60374"/>
    <n v="65923.085000000006"/>
    <n v="133539"/>
    <n v="10316.277808049173"/>
    <n v="123705.30882999999"/>
    <n v="65176.084999999999"/>
    <n v="22848.702000000001"/>
    <n v="13434.592000000001"/>
  </r>
  <r>
    <s v="הגלבוע"/>
    <s v="מועצה אזורית"/>
    <x v="1"/>
    <n v="13.856427378964941"/>
    <n v="31.4"/>
    <n v="38.1"/>
    <n v="32487.814541293661"/>
    <n v="16506"/>
    <n v="15982"/>
    <n v="8.6"/>
    <n v="9.6999999999999993"/>
    <n v="9.6"/>
    <n v="8.8000000000000007"/>
    <n v="15.024008864811622"/>
    <n v="17.837355331199213"/>
    <n v="16.569194779610932"/>
    <n v="3.6"/>
    <n v="10.3"/>
    <n v="33.4"/>
    <n v="4.5999999999999996"/>
    <n v="82"/>
    <n v="704"/>
    <n v="90.1"/>
    <n v="37.4"/>
    <n v="181"/>
    <n v="135.5"/>
    <n v="37.799999999999997"/>
    <n v="170"/>
    <x v="2"/>
    <x v="2"/>
    <x v="1"/>
    <n v="0.2"/>
    <n v="62.101493580225345"/>
    <m/>
    <m/>
    <m/>
    <m/>
    <m/>
    <m/>
    <m/>
    <m/>
    <n v="0"/>
    <n v="109865"/>
    <n v="74911"/>
    <n v="42096"/>
    <n v="67718.31"/>
    <n v="122944"/>
    <n v="7163.7321034378374"/>
    <n v="91768.09"/>
    <n v="58252.31"/>
    <n v="4942.54"/>
    <n v="16272.38"/>
  </r>
  <r>
    <s v="הגליל העליון"/>
    <s v="מועצה אזורית"/>
    <x v="1"/>
    <n v="14.623807841752031"/>
    <n v="51.5"/>
    <s v="-"/>
    <n v="19922.022847538425"/>
    <n v="9793"/>
    <n v="10129"/>
    <n v="7.9"/>
    <n v="9.8000000000000007"/>
    <n v="8.5"/>
    <n v="7.1"/>
    <n v="9.9588394739483981"/>
    <n v="20.535086838670814"/>
    <n v="16.24836863768698"/>
    <n v="3.6"/>
    <n v="16.399999999999999"/>
    <n v="30.4"/>
    <n v="8.1"/>
    <n v="378"/>
    <n v="447"/>
    <n v="42.8"/>
    <n v="29.1"/>
    <n v="136"/>
    <n v="43.7"/>
    <n v="29.9"/>
    <n v="150"/>
    <x v="5"/>
    <x v="5"/>
    <x v="4"/>
    <n v="0.3"/>
    <n v="67.45012838238199"/>
    <m/>
    <m/>
    <m/>
    <m/>
    <m/>
    <m/>
    <m/>
    <m/>
    <n v="0"/>
    <n v="120385"/>
    <n v="79623"/>
    <n v="29646"/>
    <n v="31464.01"/>
    <n v="124505"/>
    <n v="12276.112816034571"/>
    <n v="80913.495999999999"/>
    <n v="33891.51"/>
    <n v="12067.34"/>
    <n v="13712.932000000001"/>
  </r>
  <r>
    <s v="הגליל התחתון"/>
    <s v="מועצה אזורית"/>
    <x v="1"/>
    <n v="14.624080387582989"/>
    <n v="53.4"/>
    <s v="-"/>
    <n v="12981.887306530916"/>
    <n v="6741"/>
    <n v="6241"/>
    <n v="8.3000000000000007"/>
    <n v="10.5"/>
    <n v="11.1"/>
    <n v="12.8"/>
    <n v="11.492836234786626"/>
    <n v="16.045293483284549"/>
    <n v="15.25188722847019"/>
    <n v="4"/>
    <n v="10.5"/>
    <n v="37.9"/>
    <n v="3.1"/>
    <n v="-55"/>
    <n v="274"/>
    <n v="38.700000000000003"/>
    <n v="27"/>
    <n v="130"/>
    <n v="39.9"/>
    <n v="9.5"/>
    <n v="31"/>
    <x v="5"/>
    <x v="5"/>
    <x v="1"/>
    <n v="0.4"/>
    <n v="72.290119931467729"/>
    <m/>
    <m/>
    <m/>
    <m/>
    <m/>
    <m/>
    <m/>
    <m/>
    <n v="0"/>
    <n v="107196"/>
    <n v="53809"/>
    <n v="20354"/>
    <n v="25207"/>
    <n v="54015"/>
    <n v="12419.226588023997"/>
    <n v="78760"/>
    <n v="22408"/>
    <n v="6760"/>
    <n v="10019"/>
  </r>
  <r>
    <s v="הערבה התיכונה"/>
    <s v="מועצה אזורית"/>
    <x v="1"/>
    <n v="20.146726862302483"/>
    <n v="42.6"/>
    <s v="-"/>
    <n v="3958.2987046210951"/>
    <n v="1987"/>
    <n v="1971"/>
    <n v="7"/>
    <n v="10.7"/>
    <n v="10.3"/>
    <n v="11.6"/>
    <n v="9.9039919151086409"/>
    <n v="18.014148559878727"/>
    <n v="18.216270843860535"/>
    <n v="3.6"/>
    <n v="10.7"/>
    <n v="34.1"/>
    <n v="3.4"/>
    <n v="173"/>
    <n v="95"/>
    <n v="19.100000000000001"/>
    <n v="7.1"/>
    <n v="34"/>
    <n v="15.4"/>
    <n v="4.5999999999999996"/>
    <n v="22"/>
    <x v="5"/>
    <x v="5"/>
    <x v="4"/>
    <n v="0"/>
    <n v="65.431243505368897"/>
    <m/>
    <m/>
    <m/>
    <m/>
    <m/>
    <m/>
    <m/>
    <m/>
    <n v="0"/>
    <n v="37923"/>
    <n v="25553"/>
    <n v="6195"/>
    <n v="7512"/>
    <n v="18948"/>
    <n v="14342.272839016165"/>
    <n v="30038"/>
    <n v="6977"/>
    <n v="3062"/>
    <n v="1545"/>
  </r>
  <r>
    <s v="הר חברון"/>
    <s v="מועצה אזורית"/>
    <x v="1"/>
    <n v="17.319643339637935"/>
    <n v="59.4"/>
    <s v="-"/>
    <n v="10711.251851864976"/>
    <n v="5864"/>
    <n v="4847"/>
    <n v="15.9"/>
    <n v="15.8"/>
    <n v="13.4"/>
    <n v="9.1"/>
    <n v="13.873587900289422"/>
    <n v="19.269909438894594"/>
    <n v="8.4212491830828107"/>
    <n v="2.1"/>
    <n v="2.1"/>
    <n v="50.2"/>
    <n v="0.4"/>
    <n v="188"/>
    <n v="246"/>
    <n v="19.899999999999999"/>
    <n v="15.9"/>
    <n v="93"/>
    <n v="11.6"/>
    <n v="10.3"/>
    <n v="35"/>
    <x v="2"/>
    <x v="2"/>
    <x v="1"/>
    <s v=".."/>
    <n v="75.920885501723816"/>
    <m/>
    <m/>
    <m/>
    <m/>
    <m/>
    <m/>
    <m/>
    <m/>
    <n v="16000"/>
    <n v="33461"/>
    <n v="19990"/>
    <n v="12338"/>
    <n v="14659.8972592911"/>
    <n v="122367"/>
    <n v="16041.355611490293"/>
    <n v="20626.97"/>
    <n v="12521"/>
    <n v="1016.38"/>
    <n v="5431"/>
  </r>
  <r>
    <s v="זבולון"/>
    <s v="מועצה אזורית"/>
    <x v="1"/>
    <n v="12.039610840861711"/>
    <n v="41"/>
    <n v="32.299999999999997"/>
    <n v="14030.390284575684"/>
    <n v="7137"/>
    <n v="6894"/>
    <n v="7.2"/>
    <n v="8.4"/>
    <n v="9.6"/>
    <n v="10.199999999999999"/>
    <n v="14.889522451888809"/>
    <n v="17.106200997861727"/>
    <n v="16.749821810406274"/>
    <n v="3.6"/>
    <n v="12.3"/>
    <n v="31.5"/>
    <n v="5.8"/>
    <n v="56"/>
    <n v="1089"/>
    <n v="14.5"/>
    <n v="11.5"/>
    <n v="62"/>
    <n v="6.9"/>
    <n v="6"/>
    <n v="15"/>
    <x v="2"/>
    <x v="2"/>
    <x v="0"/>
    <n v="0.4"/>
    <n v="63.41813705375462"/>
    <m/>
    <m/>
    <m/>
    <m/>
    <m/>
    <m/>
    <m/>
    <m/>
    <n v="0"/>
    <n v="98265"/>
    <n v="38536"/>
    <n v="19969"/>
    <n v="27943"/>
    <n v="85654"/>
    <n v="13106.976803215955"/>
    <n v="44947.94"/>
    <n v="23554"/>
    <n v="9225"/>
    <n v="3043"/>
  </r>
  <r>
    <s v="חבל אילות"/>
    <s v="מועצה אזורית"/>
    <x v="1"/>
    <n v="19.093286835222319"/>
    <n v="44.7"/>
    <s v="-"/>
    <n v="4856.7206357767564"/>
    <n v="2475"/>
    <n v="2381"/>
    <n v="7.2"/>
    <n v="10.3"/>
    <n v="9.6"/>
    <n v="8.1"/>
    <n v="12.847436689314392"/>
    <n v="20.547663166563723"/>
    <n v="18.138768787317275"/>
    <n v="4.8"/>
    <n v="8.5"/>
    <n v="31.9"/>
    <n v="2.7"/>
    <n v="50"/>
    <n v="65"/>
    <n v="3.3"/>
    <n v="2.5"/>
    <n v="10"/>
    <n v="8.8000000000000007"/>
    <n v="6.7"/>
    <n v="44"/>
    <x v="2"/>
    <x v="2"/>
    <x v="4"/>
    <n v="0"/>
    <n v="58.577517314864146"/>
    <m/>
    <m/>
    <m/>
    <m/>
    <m/>
    <m/>
    <m/>
    <m/>
    <n v="0"/>
    <n v="89394"/>
    <n v="38164"/>
    <n v="11972"/>
    <n v="15477"/>
    <n v="55829"/>
    <n v="30280.308675090098"/>
    <n v="74513"/>
    <n v="18199"/>
    <n v="28371"/>
    <n v="4345"/>
  </r>
  <r>
    <s v="חבל יבנה"/>
    <s v="מועצה אזורית"/>
    <x v="1"/>
    <n v="15.230905861456485"/>
    <n v="63.3"/>
    <s v="-"/>
    <n v="6962.4402833137683"/>
    <n v="3379"/>
    <n v="3584"/>
    <n v="10.1"/>
    <n v="9.5"/>
    <n v="10"/>
    <n v="16.399999999999999"/>
    <n v="17.710428037920138"/>
    <n v="13.444412525136453"/>
    <n v="11.605860384946855"/>
    <n v="2.8"/>
    <n v="8.6"/>
    <n v="39.299999999999997"/>
    <n v="3.3"/>
    <n v="-165"/>
    <n v="80"/>
    <n v="8.6999999999999993"/>
    <n v="2.2999999999999998"/>
    <n v="10"/>
    <n v="28.8"/>
    <n v="20.399999999999999"/>
    <n v="124"/>
    <x v="3"/>
    <x v="2"/>
    <x v="3"/>
    <n v="1.3"/>
    <n v="77.313266443701224"/>
    <m/>
    <m/>
    <m/>
    <m/>
    <m/>
    <m/>
    <m/>
    <m/>
    <n v="0"/>
    <n v="39754"/>
    <n v="33449"/>
    <n v="9858"/>
    <n v="11313.25"/>
    <n v="34244"/>
    <n v="10806.124999062973"/>
    <n v="33091"/>
    <n v="8897"/>
    <n v="14112"/>
    <n v="3054"/>
  </r>
  <r>
    <s v="חבל מודיעין"/>
    <s v="מועצה אזורית"/>
    <x v="1"/>
    <n v="15.617831853994216"/>
    <n v="46.4"/>
    <s v="-"/>
    <n v="24003.336660893496"/>
    <n v="12328"/>
    <n v="11676"/>
    <n v="8.4"/>
    <n v="9.4"/>
    <n v="9.1999999999999993"/>
    <n v="11"/>
    <n v="12.915052285131026"/>
    <n v="15.985501812273467"/>
    <n v="17.914427363246261"/>
    <n v="4.5"/>
    <n v="10.7"/>
    <n v="33.799999999999997"/>
    <n v="4"/>
    <n v="-231"/>
    <n v="431"/>
    <n v="16.5"/>
    <n v="2.4"/>
    <n v="10"/>
    <n v="10.1"/>
    <n v="3.8"/>
    <n v="14"/>
    <x v="5"/>
    <x v="5"/>
    <x v="5"/>
    <n v="0.9"/>
    <n v="77.511030365948614"/>
    <m/>
    <m/>
    <m/>
    <m/>
    <m/>
    <m/>
    <m/>
    <m/>
    <n v="0"/>
    <n v="182888"/>
    <n v="146550"/>
    <n v="30497"/>
    <n v="32959"/>
    <n v="61596"/>
    <n v="10172.08579996275"/>
    <n v="130928.09299999999"/>
    <n v="34761"/>
    <n v="37474"/>
    <n v="16910"/>
  </r>
  <r>
    <s v="חוף אשקלון"/>
    <s v="מועצה אזורית"/>
    <x v="1"/>
    <n v="13.799712505989458"/>
    <n v="49.2"/>
    <s v="-"/>
    <n v="19566.718456770846"/>
    <n v="9758"/>
    <n v="9808"/>
    <n v="9.1999999999999993"/>
    <n v="10.7"/>
    <n v="10.1"/>
    <n v="10.3"/>
    <n v="11.877140082792456"/>
    <n v="18.740736955077423"/>
    <n v="14.856646394439618"/>
    <n v="3.7"/>
    <n v="10.5"/>
    <n v="36.200000000000003"/>
    <n v="3.9"/>
    <n v="6"/>
    <n v="410"/>
    <n v="40.700000000000003"/>
    <n v="27.4"/>
    <n v="117"/>
    <n v="30.1"/>
    <n v="23.2"/>
    <n v="98"/>
    <x v="5"/>
    <x v="5"/>
    <x v="0"/>
    <n v="0.2"/>
    <n v="75.733736762481087"/>
    <m/>
    <m/>
    <m/>
    <m/>
    <m/>
    <m/>
    <m/>
    <m/>
    <n v="0"/>
    <n v="99104"/>
    <n v="58220"/>
    <n v="23822"/>
    <n v="29992"/>
    <n v="86891"/>
    <n v="9482.1725170680147"/>
    <n v="65649"/>
    <n v="30440"/>
    <n v="9993"/>
    <n v="3467"/>
  </r>
  <r>
    <s v="חוף הכרמל"/>
    <s v="מועצה אזורית"/>
    <x v="1"/>
    <n v="14.23847629125058"/>
    <n v="51.3"/>
    <s v="-"/>
    <n v="36467.501932353822"/>
    <n v="18539"/>
    <n v="17929"/>
    <n v="8.1"/>
    <n v="9.4"/>
    <n v="9.1999999999999993"/>
    <n v="9.6999999999999993"/>
    <n v="10.886256444005705"/>
    <n v="19.770757924755948"/>
    <n v="16.918942634638586"/>
    <n v="4.0999999999999996"/>
    <n v="12"/>
    <n v="32.6"/>
    <n v="4.5999999999999996"/>
    <n v="423"/>
    <n v="702"/>
    <n v="75.5"/>
    <n v="68.400000000000006"/>
    <n v="304"/>
    <n v="27.9"/>
    <n v="25.8"/>
    <n v="105"/>
    <x v="6"/>
    <x v="5"/>
    <x v="0"/>
    <n v="0.2"/>
    <n v="69.846068175490245"/>
    <m/>
    <m/>
    <m/>
    <m/>
    <m/>
    <m/>
    <m/>
    <m/>
    <n v="0"/>
    <n v="179388"/>
    <n v="112075"/>
    <n v="69711"/>
    <n v="83970.880000000005"/>
    <n v="125947"/>
    <n v="8365.557930617184"/>
    <n v="123756.12"/>
    <n v="79544.88"/>
    <n v="6659.66"/>
    <n v="15695.32"/>
  </r>
  <r>
    <s v="חוף השרון"/>
    <s v="מועצה אזורית"/>
    <x v="1"/>
    <n v="17.190177041690465"/>
    <n v="46"/>
    <n v="4.3"/>
    <n v="15369.270299208367"/>
    <n v="8460"/>
    <n v="6910"/>
    <n v="6.5"/>
    <n v="7.6"/>
    <n v="8.3000000000000007"/>
    <n v="7.8"/>
    <n v="11.308478105276857"/>
    <n v="19.832129611555729"/>
    <n v="19.656451298067541"/>
    <n v="4.0999999999999996"/>
    <n v="14.9"/>
    <n v="27.2"/>
    <n v="7.4"/>
    <n v="-27"/>
    <n v="211"/>
    <n v="15.3"/>
    <n v="12.3"/>
    <n v="53"/>
    <n v="6.1"/>
    <n v="3.5"/>
    <n v="12"/>
    <x v="6"/>
    <x v="8"/>
    <x v="5"/>
    <n v="0.5"/>
    <n v="71.792328042328052"/>
    <m/>
    <m/>
    <m/>
    <m/>
    <m/>
    <m/>
    <m/>
    <m/>
    <n v="0"/>
    <n v="108319"/>
    <n v="72490"/>
    <n v="28623"/>
    <n v="29313"/>
    <n v="26382"/>
    <n v="8761.8993861365179"/>
    <n v="81839.839000000007"/>
    <n v="33770.966999999997"/>
    <n v="34364.769"/>
    <n v="5112.1009999999997"/>
  </r>
  <r>
    <s v="יואב"/>
    <s v="מועצה אזורית"/>
    <x v="1"/>
    <n v="12.931254791719907"/>
    <n v="62.8"/>
    <s v="-"/>
    <n v="9257.2878860327728"/>
    <n v="4611"/>
    <n v="4646"/>
    <n v="6.5"/>
    <n v="10.4"/>
    <n v="11.9"/>
    <n v="10.4"/>
    <n v="10.078859241654964"/>
    <n v="16.495624932483526"/>
    <n v="19.812034136329267"/>
    <n v="3.3"/>
    <n v="11"/>
    <n v="35.200000000000003"/>
    <n v="5.3"/>
    <n v="30"/>
    <n v="203"/>
    <n v="12.3"/>
    <n v="8.3000000000000007"/>
    <n v="46"/>
    <n v="4.5999999999999996"/>
    <n v="3"/>
    <n v="10"/>
    <x v="6"/>
    <x v="7"/>
    <x v="0"/>
    <n v="0.2"/>
    <n v="73.57064104583398"/>
    <m/>
    <m/>
    <m/>
    <m/>
    <m/>
    <m/>
    <m/>
    <m/>
    <n v="0"/>
    <n v="86391"/>
    <n v="45461"/>
    <n v="13779"/>
    <n v="15174"/>
    <n v="49979"/>
    <n v="14665.634435420145"/>
    <n v="48053.2"/>
    <n v="14094"/>
    <n v="13629"/>
    <n v="5537"/>
  </r>
  <r>
    <s v="לב השרון"/>
    <s v="מועצה אזורית"/>
    <x v="1"/>
    <n v="14.98650732459522"/>
    <n v="48.3"/>
    <s v="-"/>
    <n v="23691.897727090505"/>
    <n v="11900"/>
    <n v="11791"/>
    <n v="6.1"/>
    <n v="7.7"/>
    <n v="9.1"/>
    <n v="9.4"/>
    <n v="12.156002026000337"/>
    <n v="14.646294107715685"/>
    <n v="21.281445213574202"/>
    <n v="4.9000000000000004"/>
    <n v="14.7"/>
    <n v="28.8"/>
    <n v="7.6"/>
    <n v="-111"/>
    <n v="462"/>
    <n v="12.8"/>
    <n v="10.9"/>
    <n v="46"/>
    <n v="35.1"/>
    <n v="7.8"/>
    <n v="30"/>
    <x v="6"/>
    <x v="7"/>
    <x v="3"/>
    <n v="0.6"/>
    <n v="72.493027767673084"/>
    <m/>
    <m/>
    <m/>
    <m/>
    <m/>
    <m/>
    <m/>
    <m/>
    <n v="0"/>
    <n v="145180.231"/>
    <n v="85373.23"/>
    <n v="44730.26"/>
    <n v="55113.07"/>
    <n v="100854.586"/>
    <n v="10460.147298231384"/>
    <n v="93894.2"/>
    <n v="50118.46"/>
    <n v="22025.03"/>
    <n v="5306.81"/>
  </r>
  <r>
    <s v="לכיש"/>
    <s v="מועצה אזורית"/>
    <x v="1"/>
    <n v="13.419761737911703"/>
    <n v="49.3"/>
    <s v="-"/>
    <n v="14075.554205341283"/>
    <n v="7257"/>
    <n v="6818"/>
    <n v="10.8"/>
    <n v="12.6"/>
    <n v="11.7"/>
    <n v="7.6"/>
    <n v="11.402387041773231"/>
    <n v="20.190394998579141"/>
    <n v="13.87468030690537"/>
    <n v="3.4"/>
    <n v="8.4"/>
    <n v="39.700000000000003"/>
    <n v="3.5"/>
    <n v="193"/>
    <n v="326"/>
    <n v="23.1"/>
    <n v="17.399999999999999"/>
    <n v="74"/>
    <n v="20.3"/>
    <n v="14.6"/>
    <n v="59"/>
    <x v="5"/>
    <x v="5"/>
    <x v="9"/>
    <n v="0"/>
    <n v="77.664857373830699"/>
    <m/>
    <m/>
    <m/>
    <m/>
    <m/>
    <m/>
    <m/>
    <m/>
    <n v="0"/>
    <n v="53249"/>
    <n v="24319"/>
    <n v="14291"/>
    <n v="18569"/>
    <n v="64144"/>
    <n v="8353.9161786879667"/>
    <n v="31830.03"/>
    <n v="17278"/>
    <n v="1663.39"/>
    <n v="179.95"/>
  </r>
  <r>
    <s v="מבואות החרמון"/>
    <s v="מועצה אזורית"/>
    <x v="1"/>
    <n v="14.289494575284467"/>
    <n v="39.1"/>
    <s v="-"/>
    <n v="7727.9615433849067"/>
    <n v="3881"/>
    <n v="3847"/>
    <n v="7.9"/>
    <n v="7.6"/>
    <n v="8.4"/>
    <n v="7.1"/>
    <n v="13.341097308488614"/>
    <n v="19.280538302277435"/>
    <n v="16.821946169772257"/>
    <n v="5.8"/>
    <n v="13.7"/>
    <n v="28.3"/>
    <n v="4.3"/>
    <n v="91"/>
    <n v="187"/>
    <n v="12.5"/>
    <n v="8.6"/>
    <n v="31"/>
    <n v="24.7"/>
    <n v="10.199999999999999"/>
    <n v="47"/>
    <x v="5"/>
    <x v="5"/>
    <x v="4"/>
    <n v="0.1"/>
    <n v="69.831546707503833"/>
    <m/>
    <m/>
    <m/>
    <m/>
    <m/>
    <m/>
    <m/>
    <m/>
    <n v="0"/>
    <n v="46549"/>
    <n v="22701"/>
    <n v="12090"/>
    <n v="16241"/>
    <n v="43359"/>
    <n v="11603.448011042174"/>
    <n v="21582"/>
    <n v="14042"/>
    <n v="2014"/>
    <n v="1184"/>
  </r>
  <r>
    <s v="מגידו"/>
    <s v="מועצה אזורית"/>
    <x v="1"/>
    <n v="12.925170068027212"/>
    <n v="55.1"/>
    <s v="-"/>
    <n v="12343.577524622831"/>
    <n v="6180"/>
    <n v="6164"/>
    <n v="7.3"/>
    <n v="8.9"/>
    <n v="9.6999999999999993"/>
    <n v="8.1"/>
    <n v="10.904082955281918"/>
    <n v="17.474076474400519"/>
    <n v="17.74951393389501"/>
    <n v="3.7"/>
    <n v="16.2"/>
    <n v="30.9"/>
    <n v="7.9"/>
    <n v="56"/>
    <n v="214"/>
    <n v="15.9"/>
    <n v="10.5"/>
    <n v="37"/>
    <n v="23"/>
    <n v="10.199999999999999"/>
    <n v="38"/>
    <x v="5"/>
    <x v="5"/>
    <x v="9"/>
    <n v="0.3"/>
    <n v="71.538461538461533"/>
    <m/>
    <m/>
    <m/>
    <m/>
    <m/>
    <m/>
    <m/>
    <m/>
    <n v="0"/>
    <n v="84591"/>
    <n v="41612"/>
    <n v="19263"/>
    <n v="23402.53"/>
    <n v="53254"/>
    <n v="11176.905538511257"/>
    <n v="58547.581700000002"/>
    <n v="23047.53"/>
    <n v="10398.74"/>
    <n v="7543.567"/>
  </r>
  <r>
    <s v="מגילות ים המלח"/>
    <s v="מועצה אזורית"/>
    <x v="1"/>
    <n v="20.889348500517062"/>
    <n v="46.4"/>
    <s v="-"/>
    <n v="2102.8450190170511"/>
    <n v="1105"/>
    <n v="998"/>
    <n v="12.3"/>
    <n v="13.3"/>
    <n v="10.9"/>
    <n v="8.4"/>
    <n v="9.7004279600570626"/>
    <n v="24.679029957203994"/>
    <n v="12.933903946742747"/>
    <n v="3.5"/>
    <n v="4.4000000000000004"/>
    <n v="40.6"/>
    <n v="0.6"/>
    <n v="33"/>
    <n v="73"/>
    <n v="5.2"/>
    <n v="4.5"/>
    <n v="27"/>
    <n v="4.7"/>
    <n v="4.4000000000000004"/>
    <n v="20"/>
    <x v="5"/>
    <x v="5"/>
    <x v="1"/>
    <s v=".."/>
    <n v="72.260536398467437"/>
    <m/>
    <m/>
    <m/>
    <m/>
    <m/>
    <m/>
    <m/>
    <m/>
    <n v="0"/>
    <n v="12738"/>
    <n v="9939"/>
    <n v="3155"/>
    <n v="3960.8"/>
    <n v="20046"/>
    <n v="15545.130384967728"/>
    <n v="12001.88"/>
    <n v="3445.6"/>
    <n v="1503.88"/>
    <n v="721.99"/>
  </r>
  <r>
    <s v="מטה אשר"/>
    <s v="מועצה אזורית"/>
    <x v="1"/>
    <n v="13.738819320214668"/>
    <n v="46.5"/>
    <n v="15.4"/>
    <n v="31585.687786787737"/>
    <n v="15737"/>
    <n v="15849"/>
    <n v="7.7"/>
    <n v="9.5"/>
    <n v="9.8000000000000007"/>
    <n v="8.5"/>
    <n v="11.216994871145443"/>
    <n v="18.539859431393655"/>
    <n v="17.871841955296649"/>
    <n v="3.8"/>
    <n v="13.1"/>
    <n v="32.1"/>
    <n v="5.6"/>
    <n v="448"/>
    <n v="713"/>
    <n v="114.4"/>
    <n v="24.8"/>
    <n v="105"/>
    <n v="62"/>
    <n v="34.9"/>
    <n v="161"/>
    <x v="5"/>
    <x v="5"/>
    <x v="1"/>
    <n v="1.1000000000000001"/>
    <n v="67.896630967350305"/>
    <m/>
    <m/>
    <m/>
    <m/>
    <m/>
    <m/>
    <m/>
    <m/>
    <n v="0"/>
    <n v="206290"/>
    <n v="120103"/>
    <n v="50546"/>
    <n v="69589"/>
    <n v="169147"/>
    <n v="11883.198571886218"/>
    <n v="117668"/>
    <n v="52109"/>
    <n v="21198"/>
    <n v="24604"/>
  </r>
  <r>
    <s v="מטה בנימין"/>
    <s v="מועצה אזורית"/>
    <x v="1"/>
    <n v="15.375625433694898"/>
    <n v="47.2"/>
    <s v="-"/>
    <n v="75447.383094846577"/>
    <n v="37927"/>
    <n v="37520"/>
    <n v="13.1"/>
    <n v="13.5"/>
    <n v="13.2"/>
    <n v="10.6"/>
    <n v="14.952218113377603"/>
    <n v="16.345248982729601"/>
    <n v="11.59621986295015"/>
    <n v="2.4"/>
    <n v="4.3"/>
    <n v="46.3"/>
    <n v="1.2"/>
    <n v="708"/>
    <n v="1352"/>
    <n v="65.599999999999994"/>
    <n v="58.1"/>
    <n v="252"/>
    <n v="95.6"/>
    <n v="74.900000000000006"/>
    <n v="395"/>
    <x v="2"/>
    <x v="2"/>
    <x v="0"/>
    <s v=".."/>
    <n v="76.135990621336461"/>
    <m/>
    <m/>
    <m/>
    <m/>
    <m/>
    <m/>
    <m/>
    <m/>
    <n v="0"/>
    <n v="261013"/>
    <n v="109765"/>
    <n v="91335"/>
    <n v="99566.67"/>
    <n v="497128"/>
    <n v="10078.202434723507"/>
    <n v="114695.64"/>
    <n v="96295.07"/>
    <n v="8436.73"/>
    <n v="4031.22"/>
  </r>
  <r>
    <s v="מטה יהודה"/>
    <s v="מועצה אזורית"/>
    <x v="1"/>
    <n v="13.957067319075053"/>
    <n v="45.8"/>
    <n v="8.6999999999999993"/>
    <n v="62880.791990414487"/>
    <n v="31577"/>
    <n v="31303"/>
    <n v="8.8000000000000007"/>
    <n v="10.1"/>
    <n v="10.1"/>
    <n v="8.5"/>
    <n v="12.404382881951623"/>
    <n v="18.897600229003992"/>
    <n v="16.67753375423419"/>
    <n v="4"/>
    <n v="10.5"/>
    <n v="34.299999999999997"/>
    <n v="4.4000000000000004"/>
    <n v="-155"/>
    <n v="836"/>
    <n v="50.5"/>
    <n v="28.3"/>
    <n v="118"/>
    <n v="94.7"/>
    <n v="36.1"/>
    <n v="154"/>
    <x v="5"/>
    <x v="5"/>
    <x v="3"/>
    <n v="0.2"/>
    <n v="72.119072413705524"/>
    <m/>
    <m/>
    <m/>
    <m/>
    <m/>
    <m/>
    <m/>
    <m/>
    <n v="0"/>
    <n v="280044"/>
    <n v="195480"/>
    <n v="88105"/>
    <n v="126634.45"/>
    <n v="227863"/>
    <n v="8094.4591168252082"/>
    <n v="204042.56"/>
    <n v="90131.45"/>
    <n v="32681.13"/>
    <n v="17484"/>
  </r>
  <r>
    <s v="מנשה"/>
    <s v="מועצה אזורית"/>
    <x v="1"/>
    <n v="15.006372132540358"/>
    <n v="50.6"/>
    <n v="16.7"/>
    <n v="22147.334108159994"/>
    <n v="10808"/>
    <n v="11339"/>
    <n v="7.3"/>
    <n v="9.6999999999999993"/>
    <n v="10.5"/>
    <n v="11.2"/>
    <n v="10.936018422359687"/>
    <n v="18.115320359416625"/>
    <n v="18.228202465345195"/>
    <n v="3.8"/>
    <n v="10.199999999999999"/>
    <n v="34.299999999999997"/>
    <n v="3.9"/>
    <n v="165"/>
    <n v="587"/>
    <n v="45.6"/>
    <n v="34.5"/>
    <n v="160"/>
    <n v="75"/>
    <n v="13.7"/>
    <n v="60"/>
    <x v="5"/>
    <x v="5"/>
    <x v="0"/>
    <n v="0.7"/>
    <n v="68.58690625619343"/>
    <m/>
    <m/>
    <m/>
    <m/>
    <m/>
    <m/>
    <m/>
    <m/>
    <n v="0"/>
    <n v="118086"/>
    <n v="68590"/>
    <n v="26432"/>
    <n v="45134"/>
    <n v="91953"/>
    <n v="9526.5641891528285"/>
    <n v="86303"/>
    <n v="31874"/>
    <n v="12029"/>
    <n v="3485"/>
  </r>
  <r>
    <s v="מעלה יוסף"/>
    <s v="מועצה אזורית"/>
    <x v="1"/>
    <n v="15.42656112576957"/>
    <n v="30.2"/>
    <s v="-"/>
    <n v="11447.288178296545"/>
    <n v="5823"/>
    <n v="5624"/>
    <n v="8.4"/>
    <n v="9.1999999999999993"/>
    <n v="8.5"/>
    <n v="7.8"/>
    <n v="12.658338429282781"/>
    <n v="18.76474185376081"/>
    <n v="17.602865379575437"/>
    <n v="5.5"/>
    <n v="11.5"/>
    <n v="30.8"/>
    <n v="3.9"/>
    <n v="-281"/>
    <n v="262"/>
    <n v="43.9"/>
    <n v="32"/>
    <n v="125"/>
    <n v="28.2"/>
    <n v="16.399999999999999"/>
    <n v="66"/>
    <x v="5"/>
    <x v="5"/>
    <x v="8"/>
    <n v="0.4"/>
    <n v="70.863137815927516"/>
    <m/>
    <m/>
    <m/>
    <m/>
    <m/>
    <m/>
    <m/>
    <m/>
    <n v="0"/>
    <n v="50952"/>
    <n v="30796"/>
    <n v="16867"/>
    <n v="21568.801104972401"/>
    <n v="99508"/>
    <n v="13079.604327937914"/>
    <n v="34186"/>
    <n v="18724"/>
    <n v="3412"/>
    <n v="2417"/>
  </r>
  <r>
    <s v="מרום הגליל"/>
    <s v="מועצה אזורית"/>
    <x v="1"/>
    <n v="13.274086613062492"/>
    <n v="27.8"/>
    <n v="17.399999999999999"/>
    <n v="16205.437248755628"/>
    <n v="8681"/>
    <n v="7524"/>
    <n v="8.5"/>
    <n v="9.4"/>
    <n v="9"/>
    <n v="10"/>
    <n v="15.414995371798829"/>
    <n v="18.611539648256713"/>
    <n v="15.458191916075286"/>
    <n v="4.5"/>
    <n v="9.1"/>
    <n v="33.200000000000003"/>
    <n v="2.8"/>
    <n v="-70"/>
    <n v="347"/>
    <n v="42.4"/>
    <n v="18.399999999999999"/>
    <n v="79"/>
    <n v="50.7"/>
    <n v="17.399999999999999"/>
    <n v="81"/>
    <x v="2"/>
    <x v="2"/>
    <x v="8"/>
    <n v="0.2"/>
    <n v="68.130020549224739"/>
    <m/>
    <m/>
    <m/>
    <m/>
    <m/>
    <m/>
    <m/>
    <m/>
    <n v="0"/>
    <n v="70788"/>
    <n v="41383"/>
    <n v="16540"/>
    <n v="20145.628000000001"/>
    <n v="102042"/>
    <n v="10669.135139397511"/>
    <n v="37502.235000000001"/>
    <n v="21113.628000000001"/>
    <n v="2469.3910000000001"/>
    <n v="6252.8149999999996"/>
  </r>
  <r>
    <s v="מרחבים"/>
    <s v="מועצה אזורית"/>
    <x v="1"/>
    <n v="14.876831428111414"/>
    <n v="36.6"/>
    <s v="-"/>
    <n v="14890.984786444185"/>
    <n v="7558"/>
    <n v="7333"/>
    <n v="10.1"/>
    <n v="11.2"/>
    <n v="11.2"/>
    <n v="8.9"/>
    <n v="13.135450943522933"/>
    <n v="19.004767980659459"/>
    <n v="14.639715264253574"/>
    <n v="3.7"/>
    <n v="8"/>
    <n v="38.299999999999997"/>
    <n v="2.8"/>
    <n v="-63"/>
    <n v="341"/>
    <n v="17.899999999999999"/>
    <n v="12"/>
    <n v="52"/>
    <n v="32.5"/>
    <n v="12"/>
    <n v="57"/>
    <x v="3"/>
    <x v="3"/>
    <x v="1"/>
    <n v="0"/>
    <n v="77.504603054261892"/>
    <m/>
    <m/>
    <m/>
    <m/>
    <m/>
    <m/>
    <m/>
    <m/>
    <n v="0"/>
    <n v="62563"/>
    <n v="42015"/>
    <n v="14924"/>
    <n v="21038.511999999999"/>
    <n v="98268"/>
    <n v="10799.017144009809"/>
    <n v="37427.224000000002"/>
    <n v="19275.511999999999"/>
    <n v="3719.1030000000001"/>
    <n v="626.303"/>
  </r>
  <r>
    <s v="משגב"/>
    <s v="מועצה אזורית"/>
    <x v="1"/>
    <n v="13.055143684247689"/>
    <n v="56.4"/>
    <n v="26.4"/>
    <n v="30671.049138459264"/>
    <n v="15496"/>
    <n v="15175"/>
    <n v="7.3"/>
    <n v="9.8000000000000007"/>
    <n v="10.5"/>
    <n v="9.5"/>
    <n v="14.906589286296501"/>
    <n v="17.231260800104334"/>
    <n v="18.564768021909948"/>
    <n v="4.4000000000000004"/>
    <n v="7.8"/>
    <n v="33.5"/>
    <n v="2"/>
    <n v="259"/>
    <n v="733"/>
    <n v="62.2"/>
    <n v="47.1"/>
    <n v="214"/>
    <n v="65.099999999999994"/>
    <n v="51.7"/>
    <n v="218"/>
    <x v="5"/>
    <x v="5"/>
    <x v="1"/>
    <n v="0.3"/>
    <n v="67.437933552391385"/>
    <m/>
    <m/>
    <m/>
    <m/>
    <m/>
    <m/>
    <m/>
    <m/>
    <n v="0"/>
    <n v="158103"/>
    <n v="92917"/>
    <n v="47507"/>
    <n v="61385"/>
    <n v="143108"/>
    <n v="9808.9895341321553"/>
    <n v="80926.960000000006"/>
    <n v="52022"/>
    <n v="5653"/>
    <n v="14734"/>
  </r>
  <r>
    <s v="נווה מדבר"/>
    <s v="מועצה אזורית"/>
    <x v="0"/>
    <n v="12.146025247355851"/>
    <n v="7.1"/>
    <n v="99.7"/>
    <n v="13913.309260918553"/>
    <n v="7045"/>
    <n v="6869"/>
    <n v="21.1"/>
    <n v="15.2"/>
    <n v="11.1"/>
    <n v="9.5"/>
    <n v="16.897865305829079"/>
    <n v="14.985984331201035"/>
    <n v="7.8775246172644291"/>
    <n v="1.2"/>
    <n v="2.1"/>
    <n v="52.9"/>
    <n v="0.7"/>
    <n v="158"/>
    <n v="151"/>
    <n v="4"/>
    <n v="3.3"/>
    <n v="15"/>
    <n v="3.5"/>
    <n v="2.4"/>
    <n v="12"/>
    <x v="8"/>
    <x v="6"/>
    <x v="8"/>
    <n v="0"/>
    <n v="61.936741767764303"/>
    <m/>
    <m/>
    <m/>
    <m/>
    <m/>
    <m/>
    <m/>
    <m/>
    <n v="0"/>
    <n v="17595"/>
    <n v="299"/>
    <n v="63"/>
    <n v="3503.4953999999998"/>
    <n v="266046"/>
    <n v="22689.138441472322"/>
    <n v="6221.1891999999998"/>
    <n v="5757.3770000000004"/>
    <n v="278.47340000000003"/>
    <n v="86.384399999999999"/>
  </r>
  <r>
    <s v="נחל שורק"/>
    <s v="מועצה אזורית"/>
    <x v="1"/>
    <n v="13.24200913242009"/>
    <n v="50.5"/>
    <s v="-"/>
    <n v="10229.776062373749"/>
    <n v="5591"/>
    <n v="4639"/>
    <n v="11.2"/>
    <n v="12"/>
    <n v="13.2"/>
    <n v="14.1"/>
    <n v="16.226783968719452"/>
    <n v="14.193548387096774"/>
    <n v="11.798631476050831"/>
    <n v="1.7"/>
    <n v="5.5"/>
    <n v="43.8"/>
    <n v="2"/>
    <n v="-161"/>
    <n v="153"/>
    <n v="8.5"/>
    <n v="4.8"/>
    <n v="16"/>
    <n v="34.1"/>
    <n v="4.4000000000000004"/>
    <n v="18"/>
    <x v="2"/>
    <x v="2"/>
    <x v="3"/>
    <n v="0.3"/>
    <n v="80.449565545901024"/>
    <m/>
    <m/>
    <m/>
    <m/>
    <m/>
    <m/>
    <m/>
    <m/>
    <n v="0"/>
    <n v="62469"/>
    <n v="31063"/>
    <n v="10443"/>
    <n v="11670"/>
    <n v="52190"/>
    <n v="11204.741853694377"/>
    <n v="31875"/>
    <n v="11729"/>
    <n v="12558"/>
    <n v="1768"/>
  </r>
  <r>
    <s v="עמק הירדן"/>
    <s v="מועצה אזורית"/>
    <x v="1"/>
    <n v="15.335413416536662"/>
    <n v="42.9"/>
    <s v="-"/>
    <n v="14583.997449314313"/>
    <n v="7286"/>
    <n v="7298"/>
    <n v="7.6"/>
    <n v="9.1999999999999993"/>
    <n v="8"/>
    <n v="6.4"/>
    <n v="12.22572682391662"/>
    <n v="18.787712561711466"/>
    <n v="15.9009873834339"/>
    <n v="4.3"/>
    <n v="17.600000000000001"/>
    <n v="28.9"/>
    <n v="8.5"/>
    <n v="169"/>
    <n v="335"/>
    <n v="38.4"/>
    <n v="29.9"/>
    <n v="140"/>
    <n v="41.6"/>
    <n v="15.1"/>
    <n v="57"/>
    <x v="5"/>
    <x v="5"/>
    <x v="8"/>
    <n v="0.4"/>
    <n v="66.848303744067493"/>
    <m/>
    <m/>
    <m/>
    <m/>
    <m/>
    <m/>
    <m/>
    <m/>
    <n v="0"/>
    <n v="114115"/>
    <n v="61389"/>
    <n v="24701"/>
    <n v="26743"/>
    <n v="66062"/>
    <n v="12354.088831006415"/>
    <n v="66760"/>
    <n v="29005"/>
    <n v="14664"/>
    <n v="7690"/>
  </r>
  <r>
    <s v="עמק המעיינות"/>
    <s v="מועצה אזורית"/>
    <x v="1"/>
    <n v="14.539527302363489"/>
    <n v="47.6"/>
    <s v="-"/>
    <n v="14773.219429189436"/>
    <n v="7547"/>
    <n v="7226"/>
    <n v="9.6"/>
    <n v="11.2"/>
    <n v="9.6999999999999993"/>
    <n v="8.9"/>
    <n v="11.426250592296757"/>
    <n v="19.122723888174374"/>
    <n v="13.389291274622622"/>
    <n v="3.7"/>
    <n v="13"/>
    <n v="35.4"/>
    <n v="5.9"/>
    <n v="246"/>
    <n v="359"/>
    <n v="42.4"/>
    <n v="29.3"/>
    <n v="137"/>
    <n v="32.700000000000003"/>
    <n v="18.399999999999999"/>
    <n v="73"/>
    <x v="3"/>
    <x v="3"/>
    <x v="8"/>
    <n v="0.3"/>
    <n v="70.173255480042116"/>
    <m/>
    <m/>
    <m/>
    <m/>
    <m/>
    <m/>
    <m/>
    <m/>
    <n v="0"/>
    <n v="108128"/>
    <n v="52934"/>
    <n v="20201"/>
    <n v="25448.92729"/>
    <n v="79376"/>
    <n v="12714.019506735611"/>
    <n v="58349.484400000001"/>
    <n v="25206.92729"/>
    <n v="6864.5870299999997"/>
    <n v="15687.954229999999"/>
  </r>
  <r>
    <s v="עמק חפר"/>
    <s v="מועצה אזורית"/>
    <x v="1"/>
    <n v="15.513113202294115"/>
    <n v="56.9"/>
    <s v="-"/>
    <n v="43222.366958078681"/>
    <n v="21884"/>
    <n v="21339"/>
    <n v="6.3"/>
    <n v="8.4"/>
    <n v="9.6999999999999993"/>
    <n v="10.6"/>
    <n v="11.551987413817038"/>
    <n v="15.723474156679467"/>
    <n v="20.040720003701818"/>
    <n v="3.9"/>
    <n v="13.8"/>
    <n v="31.1"/>
    <n v="6.5"/>
    <n v="10"/>
    <n v="1069"/>
    <n v="10.8"/>
    <n v="0.7"/>
    <n v="3"/>
    <n v="68.3"/>
    <n v="24.9"/>
    <n v="113"/>
    <x v="6"/>
    <x v="7"/>
    <x v="3"/>
    <n v="0.7"/>
    <n v="73.019582030607211"/>
    <m/>
    <m/>
    <m/>
    <m/>
    <m/>
    <m/>
    <m/>
    <m/>
    <n v="0"/>
    <n v="292427"/>
    <n v="166720"/>
    <n v="86027"/>
    <n v="100730.76"/>
    <n v="155261"/>
    <n v="10380.828991507522"/>
    <n v="180825.01"/>
    <n v="93254.76"/>
    <n v="33324.400000000001"/>
    <n v="32439.38"/>
  </r>
  <r>
    <s v="עמק יזרעאל"/>
    <s v="מועצה אזורית"/>
    <x v="1"/>
    <n v="12.633471344519503"/>
    <n v="61.5"/>
    <n v="4.9000000000000004"/>
    <n v="40700.18441306756"/>
    <n v="20360"/>
    <n v="20341"/>
    <n v="7.4"/>
    <n v="9.6"/>
    <n v="10.199999999999999"/>
    <n v="9.6"/>
    <n v="12.046683046683047"/>
    <n v="16.405405405405403"/>
    <n v="18.398034398034397"/>
    <n v="4.5"/>
    <n v="11.9"/>
    <n v="33"/>
    <n v="4.5"/>
    <n v="86"/>
    <n v="888"/>
    <n v="91.7"/>
    <n v="35.6"/>
    <n v="151"/>
    <n v="130.5"/>
    <n v="51.1"/>
    <n v="197"/>
    <x v="6"/>
    <x v="7"/>
    <x v="9"/>
    <n v="0.6"/>
    <n v="71.772665764546687"/>
    <m/>
    <m/>
    <m/>
    <m/>
    <m/>
    <m/>
    <m/>
    <m/>
    <n v="0"/>
    <n v="271121"/>
    <n v="150774"/>
    <n v="61883"/>
    <n v="69686"/>
    <n v="166695.5"/>
    <n v="10736.634398631824"/>
    <n v="189093"/>
    <n v="70645"/>
    <n v="18196"/>
    <n v="28036"/>
  </r>
  <r>
    <s v="ערבות הירדן"/>
    <s v="מועצה אזורית"/>
    <x v="1"/>
    <n v="19.543452142571084"/>
    <n v="48.7"/>
    <s v="-"/>
    <n v="6333.1840542529799"/>
    <n v="3180"/>
    <n v="3153"/>
    <n v="14.2"/>
    <n v="14.6"/>
    <n v="12.6"/>
    <n v="7.7"/>
    <n v="8.7951997473551238"/>
    <n v="22.043265435022896"/>
    <n v="8.8267803568608869"/>
    <n v="2.6"/>
    <n v="8.6999999999999993"/>
    <n v="46"/>
    <n v="1.5"/>
    <n v="160"/>
    <n v="129"/>
    <n v="23"/>
    <n v="12.8"/>
    <n v="58"/>
    <n v="19.600000000000001"/>
    <n v="5.3"/>
    <n v="25"/>
    <x v="3"/>
    <x v="3"/>
    <x v="1"/>
    <s v=".."/>
    <n v="71.149395731550527"/>
    <m/>
    <m/>
    <m/>
    <m/>
    <m/>
    <m/>
    <m/>
    <m/>
    <n v="0"/>
    <n v="31132"/>
    <n v="17903"/>
    <n v="8751"/>
    <n v="9300"/>
    <n v="75639"/>
    <n v="16395.860140882647"/>
    <n v="17170.48"/>
    <n v="8840"/>
    <n v="2144.2800000000002"/>
    <n v="2110.29"/>
  </r>
  <r>
    <s v="רמת נגב"/>
    <s v="מועצה אזורית"/>
    <x v="1"/>
    <n v="13.884603517432891"/>
    <n v="54.8"/>
    <n v="5.8"/>
    <n v="8482.3456542726672"/>
    <n v="4477"/>
    <n v="4005"/>
    <n v="9.1"/>
    <n v="11.4"/>
    <n v="10.1"/>
    <n v="10.6"/>
    <n v="13.593492100919594"/>
    <n v="21.740155623673662"/>
    <n v="13.487385050695591"/>
    <n v="3"/>
    <n v="7"/>
    <n v="36.4"/>
    <n v="2.8"/>
    <n v="115"/>
    <n v="162"/>
    <n v="17.5"/>
    <n v="10.4"/>
    <n v="55"/>
    <n v="12.3"/>
    <n v="9.8000000000000007"/>
    <n v="47"/>
    <x v="3"/>
    <x v="3"/>
    <x v="4"/>
    <n v="0"/>
    <n v="63.515625"/>
    <m/>
    <m/>
    <m/>
    <m/>
    <m/>
    <m/>
    <m/>
    <m/>
    <n v="0"/>
    <n v="115071"/>
    <n v="52120"/>
    <n v="14114"/>
    <n v="14917"/>
    <n v="60365"/>
    <n v="20503.880304900536"/>
    <n v="45239"/>
    <n v="14744"/>
    <n v="7943"/>
    <n v="2636"/>
  </r>
  <r>
    <s v="שדות דן"/>
    <s v="מועצה אזורית"/>
    <x v="1"/>
    <n v="13.157013726146635"/>
    <n v="32.1"/>
    <s v="-"/>
    <n v="15904.594304632557"/>
    <n v="8080"/>
    <n v="7825"/>
    <n v="11"/>
    <n v="11.6"/>
    <n v="11.2"/>
    <n v="9.3000000000000007"/>
    <n v="13.448601068846274"/>
    <n v="16.57340458975165"/>
    <n v="12.983338572775857"/>
    <n v="3.4"/>
    <n v="10.4"/>
    <n v="39"/>
    <n v="4.5999999999999996"/>
    <n v="-310"/>
    <n v="247"/>
    <n v="2.2999999999999998"/>
    <n v="0.8"/>
    <n v="3"/>
    <n v="7.6"/>
    <n v="4"/>
    <n v="13"/>
    <x v="10"/>
    <x v="3"/>
    <x v="2"/>
    <n v="1.7"/>
    <n v="75.051647811116567"/>
    <m/>
    <m/>
    <m/>
    <m/>
    <m/>
    <m/>
    <m/>
    <m/>
    <n v="0"/>
    <n v="80508"/>
    <n v="59627"/>
    <n v="18503"/>
    <n v="25986"/>
    <n v="59735"/>
    <n v="8744.3286723441524"/>
    <n v="68891"/>
    <n v="23034"/>
    <n v="31846"/>
    <n v="3945"/>
  </r>
  <r>
    <s v="שדות נגב"/>
    <s v="מועצה אזורית"/>
    <x v="1"/>
    <n v="14.898320070733865"/>
    <n v="43.1"/>
    <s v="-"/>
    <n v="11227.629677354898"/>
    <n v="5689"/>
    <n v="5539"/>
    <n v="10.7"/>
    <n v="11.4"/>
    <n v="11.5"/>
    <n v="9.8000000000000007"/>
    <n v="13.893836836480228"/>
    <n v="16.752760954755967"/>
    <n v="13.706804417527611"/>
    <n v="3.6"/>
    <n v="8.6999999999999993"/>
    <n v="39.299999999999997"/>
    <n v="3.7"/>
    <n v="-47"/>
    <n v="243"/>
    <n v="11.8"/>
    <n v="10.4"/>
    <n v="42"/>
    <n v="8.6999999999999993"/>
    <n v="5.4"/>
    <n v="23"/>
    <x v="3"/>
    <x v="3"/>
    <x v="1"/>
    <n v="0.2"/>
    <n v="79.363057324840767"/>
    <m/>
    <m/>
    <m/>
    <m/>
    <m/>
    <m/>
    <m/>
    <m/>
    <n v="0"/>
    <n v="52766"/>
    <n v="29717"/>
    <n v="10163"/>
    <n v="11138.87"/>
    <n v="78158"/>
    <n v="11661.232491847304"/>
    <n v="36583.800000000003"/>
    <n v="15093.87"/>
    <n v="4560.7700000000004"/>
    <n v="6214.48"/>
  </r>
  <r>
    <s v="שומרון"/>
    <s v="מועצה אזורית"/>
    <x v="1"/>
    <n v="15.621826732937844"/>
    <n v="57.8"/>
    <s v="-"/>
    <n v="43589.288384753752"/>
    <n v="22503"/>
    <n v="21086"/>
    <n v="16"/>
    <n v="16.5"/>
    <n v="13.9"/>
    <n v="7.5"/>
    <n v="12.117736126086857"/>
    <n v="20.142696551882356"/>
    <n v="8.885269219298447"/>
    <n v="1.7"/>
    <n v="3.2"/>
    <n v="51"/>
    <n v="0.9"/>
    <n v="1032"/>
    <n v="739"/>
    <n v="62.3"/>
    <n v="45.5"/>
    <n v="258"/>
    <n v="67"/>
    <n v="58.5"/>
    <n v="314"/>
    <x v="3"/>
    <x v="3"/>
    <x v="0"/>
    <s v=".."/>
    <n v="78.459105286940797"/>
    <m/>
    <m/>
    <m/>
    <m/>
    <m/>
    <m/>
    <m/>
    <m/>
    <n v="0"/>
    <n v="146605"/>
    <n v="91687"/>
    <n v="46563"/>
    <n v="57976"/>
    <n v="367546"/>
    <n v="11806.042701536688"/>
    <n v="94943.717999999993"/>
    <n v="45664"/>
    <n v="4464.777"/>
    <n v="33534.105000000003"/>
  </r>
  <r>
    <s v="שער הנגב"/>
    <s v="מועצה אזורית"/>
    <x v="1"/>
    <n v="13.358490566037737"/>
    <n v="58.7"/>
    <s v="-"/>
    <n v="9361.8507468872231"/>
    <n v="4765"/>
    <n v="4597"/>
    <n v="8.3000000000000007"/>
    <n v="9.1999999999999993"/>
    <n v="8.9"/>
    <n v="7.9"/>
    <n v="13.052766502883999"/>
    <n v="21.192052980132452"/>
    <n v="15.060884426404614"/>
    <n v="3.7"/>
    <n v="12.6"/>
    <n v="30.7"/>
    <n v="6.8"/>
    <n v="230"/>
    <n v="209"/>
    <n v="11.9"/>
    <n v="7.3"/>
    <n v="32"/>
    <n v="24.5"/>
    <n v="10.1"/>
    <n v="45"/>
    <x v="5"/>
    <x v="5"/>
    <x v="9"/>
    <n v="0.4"/>
    <n v="69.742954475069681"/>
    <m/>
    <m/>
    <m/>
    <m/>
    <m/>
    <m/>
    <m/>
    <m/>
    <n v="0"/>
    <n v="59506"/>
    <n v="31287.627059999999"/>
    <n v="10143.627060000001"/>
    <n v="10622.998799999999"/>
    <n v="89412"/>
    <n v="15726.804878720593"/>
    <n v="46086.6512"/>
    <n v="15300.3388"/>
    <n v="2618.1377000000002"/>
    <n v="21447.571599999999"/>
  </r>
  <r>
    <s v="שפיר"/>
    <s v="מועצה אזורית"/>
    <x v="1"/>
    <n v="11.749451426291643"/>
    <n v="46.5"/>
    <s v="-"/>
    <n v="13368.096401825953"/>
    <n v="6807"/>
    <n v="6561"/>
    <n v="11.3"/>
    <n v="11.7"/>
    <n v="11.3"/>
    <n v="13.8"/>
    <n v="11.89407540394973"/>
    <n v="16.569419509275882"/>
    <n v="11.639736684619988"/>
    <n v="3.4"/>
    <n v="8.4"/>
    <n v="43.2"/>
    <n v="2.9"/>
    <n v="238"/>
    <n v="299"/>
    <n v="39.4"/>
    <n v="36.9"/>
    <n v="199"/>
    <n v="25.6"/>
    <n v="18.2"/>
    <n v="78"/>
    <x v="2"/>
    <x v="2"/>
    <x v="0"/>
    <n v="0.1"/>
    <n v="83.079654997463209"/>
    <m/>
    <m/>
    <m/>
    <m/>
    <m/>
    <m/>
    <m/>
    <m/>
    <n v="0"/>
    <n v="100814"/>
    <n v="35923"/>
    <n v="13213"/>
    <n v="19758.487389999998"/>
    <n v="72949"/>
    <n v="13039.627689712819"/>
    <n v="67814.48057"/>
    <n v="15875.819390000001"/>
    <n v="7323.7179900000001"/>
    <n v="9689.8149799999992"/>
  </r>
  <r>
    <s v="תמר"/>
    <s v="מועצה אזורית"/>
    <x v="1"/>
    <n v="22.981366459627328"/>
    <n v="38.1"/>
    <s v="-"/>
    <n v="1593.6338020854948"/>
    <n v="833"/>
    <n v="761"/>
    <n v="8.1"/>
    <n v="8"/>
    <n v="7.4"/>
    <n v="10.9"/>
    <n v="9.598494353826851"/>
    <n v="19.761606022584694"/>
    <n v="15.872020075282309"/>
    <n v="4"/>
    <n v="16.399999999999999"/>
    <n v="30.1"/>
    <n v="6.9"/>
    <n v="-13"/>
    <n v="34"/>
    <n v="6.5"/>
    <n v="4.2"/>
    <n v="22"/>
    <n v="5.8"/>
    <n v="3.3"/>
    <n v="15"/>
    <x v="5"/>
    <x v="5"/>
    <x v="4"/>
    <n v="0.1"/>
    <n v="60.687022900763353"/>
    <m/>
    <m/>
    <m/>
    <m/>
    <m/>
    <m/>
    <m/>
    <m/>
    <n v="0"/>
    <n v="180516"/>
    <n v="148082"/>
    <n v="3154"/>
    <n v="10492"/>
    <n v="11893"/>
    <n v="120690.21110640424"/>
    <n v="147200"/>
    <n v="3154"/>
    <n v="6161"/>
    <n v="598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656C46-1B98-8949-8918-39891E429C5E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">
    <pivotField dataField="1" numFmtId="165" showAll="0"/>
    <pivotField axis="axisRow" showAll="0" sortType="descending">
      <items count="5">
        <item m="1"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4">
    <i>
      <x v="2"/>
    </i>
    <i>
      <x v="3"/>
    </i>
    <i>
      <x v="1"/>
    </i>
    <i t="grand">
      <x/>
    </i>
  </rowItems>
  <colItems count="1">
    <i/>
  </colItems>
  <dataFields count="1">
    <dataField name="Sum of ערבים (אחוזים)" fld="0" showDataAs="percentOfTotal" baseField="0" baseItem="0" numFmtId="1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F7432-B1D0-9A40-B066-348BCC4D9BE5}" name="PivotTable11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72:D73" firstHeaderRow="0" firstDataRow="1" firstDataCol="0"/>
  <pivotFields count="52">
    <pivotField showAll="0"/>
    <pivotField showAll="0"/>
    <pivotField showAll="0"/>
    <pivotField showAll="0"/>
    <pivotField numFmtId="165" showAll="0"/>
    <pivotField showAll="0"/>
    <pivotField numFmtId="164" showAll="0"/>
    <pivotField numFmtId="164" showAll="0"/>
    <pivotField numFmtId="164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1" showAll="0"/>
    <pivotField numFmtId="3" showAll="0"/>
    <pivotField numFmtId="3" showAll="0"/>
    <pivotField dataField="1" numFmtId="3" showAll="0"/>
    <pivotField numFmtId="3" showAll="0"/>
    <pivotField dataField="1" numFmtId="165" showAll="0"/>
    <pivotField numFmtId="3" showAll="0"/>
    <pivotField numFmtId="165" showAll="0"/>
    <pivotField numFmtId="165" showAll="0"/>
    <pivotField numFmtId="3" showAll="0"/>
    <pivotField numFmtId="3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מלוות לאיזון" fld="41" baseField="0" baseItem="0" numFmtId="171"/>
    <dataField name="סך הכל הכנסות מהממשלה " fld="46" baseField="0" baseItem="0" numFmtId="165"/>
    <dataField name="ארנונה למגורים - סה&quot;כ גביות" fld="44" baseField="0" baseItem="0" numFmtId="3"/>
  </dataFields>
  <formats count="1"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39E30-72A0-1446-BC58-278E8D54F7F0}" name="PivotTable7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8:C69" firstHeaderRow="0" firstDataRow="1" firstDataCol="0"/>
  <pivotFields count="52">
    <pivotField showAll="0"/>
    <pivotField showAll="0"/>
    <pivotField showAll="0"/>
    <pivotField showAll="0"/>
    <pivotField numFmtId="165" showAll="0"/>
    <pivotField showAll="0"/>
    <pivotField numFmtId="164" showAll="0"/>
    <pivotField numFmtId="164" showAll="0"/>
    <pivotField numFmtId="164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1" showAll="0"/>
    <pivotField numFmtId="3" showAll="0"/>
    <pivotField numFmtId="3" showAll="0"/>
    <pivotField dataField="1" numFmtId="3" showAll="0"/>
    <pivotField numFmtId="3" showAll="0"/>
    <pivotField dataField="1" numFmtId="165" showAll="0"/>
    <pivotField numFmtId="3" showAll="0"/>
    <pivotField numFmtId="165" showAll="0"/>
    <pivotField numFmtId="165" showAll="0"/>
    <pivotField numFmtId="3" showAll="0"/>
    <pivotField numFmtId="3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מלוות לאיזון" fld="41" baseField="0" baseItem="0" numFmtId="171"/>
    <dataField name="Sum of סך הכל הכנסות מהממשלה (2022)" fld="46" baseField="0" baseItem="0" numFmtId="165"/>
    <dataField name="Sum of ארנונה למגורים: סה&quot;כ גביות" fld="4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AF87A-2ADB-5549-96EC-C4A07E52E1E9}" name="PivotTable1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9:F53" firstHeaderRow="0" firstDataRow="1" firstDataCol="1"/>
  <pivotFields count="52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numFmtId="165" showAll="0"/>
    <pivotField showAll="0"/>
    <pivotField numFmtId="164" showAll="0"/>
    <pivotField numFmtId="164" showAll="0"/>
    <pivotField numFmtId="164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1" showAll="0"/>
    <pivotField numFmtId="3" showAll="0"/>
    <pivotField dataField="1" numFmtId="3" showAll="0"/>
    <pivotField numFmtId="3" showAll="0"/>
    <pivotField numFmtId="3" showAll="0"/>
    <pivotField numFmtId="165" showAll="0"/>
    <pivotField numFmtId="3" showAll="0"/>
    <pivotField dataField="1" numFmtId="165" showAll="0"/>
    <pivotField dataField="1" numFmtId="165" showAll="0"/>
    <pivotField dataField="1" numFmtId="3" showAll="0"/>
    <pivotField dataField="1" numFmtId="3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הכנסות עצמיות: מארנונה (2022)" fld="43" baseField="0" baseItem="0" numFmtId="3"/>
    <dataField name="Sum of סה&quot;כ חיוב ארנונה - חיוב באלפי ₪" fld="48" baseField="0" baseItem="0" numFmtId="165"/>
    <dataField name="Sum of למגורים" fld="49" baseField="0" baseItem="0" numFmtId="165"/>
    <dataField name="Sum of למשרדים, שירותים ומסחר" fld="50" baseField="0" baseItem="0" numFmtId="3"/>
    <dataField name="Sum of לתעשייה" fld="51" baseField="0" baseItem="0" numFmtId="3"/>
  </dataFields>
  <chartFormats count="3">
    <chartFormat chart="2" format="13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2" format="15" series="1">
      <pivotArea type="data" outline="0" fieldPosition="0">
        <references count="1"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0EBE4-33E7-E64B-982E-BE3697525401}" name="PivotTable12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1:E44" firstHeaderRow="1" firstDataRow="2" firstDataCol="1"/>
  <pivotFields count="52"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65" showAll="0"/>
    <pivotField showAll="0"/>
    <pivotField numFmtId="164" showAll="0"/>
    <pivotField numFmtId="164" showAll="0"/>
    <pivotField numFmtId="164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h="1" x="8"/>
        <item h="1" x="0"/>
        <item x="1"/>
        <item h="1" x="4"/>
        <item h="1" x="2"/>
        <item h="1" x="3"/>
        <item h="1" x="5"/>
        <item h="1" x="6"/>
        <item h="1" x="7"/>
        <item h="1"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1" showAll="0"/>
    <pivotField numFmtId="3" showAll="0"/>
    <pivotField numFmtId="3" showAll="0"/>
    <pivotField numFmtId="3" showAll="0"/>
    <pivotField numFmtId="3" showAll="0"/>
    <pivotField numFmtId="165" showAll="0"/>
    <pivotField dataField="1" numFmtId="3" showAll="0"/>
    <pivotField numFmtId="165" showAll="0"/>
    <pivotField numFmtId="165" showAll="0"/>
    <pivotField numFmtId="3" showAll="0"/>
    <pivotField numFmtId="3" showAll="0"/>
  </pivotFields>
  <rowFields count="1">
    <field x="28"/>
  </rowFields>
  <rowItems count="2"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הוצאה לנפש בתקציב הרגיל (ש&quot;ח), 2022" fld="47" baseField="0" baseItem="0" numFmtId="3"/>
  </dataFields>
  <chartFormats count="3">
    <chartFormat chart="2" format="13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2" format="15" series="1">
      <pivotArea type="data" outline="0" fieldPosition="0">
        <references count="1"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64F65-98C3-A347-AE11-3226804F561B}" name="PivotTable10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5:E38" firstHeaderRow="1" firstDataRow="2" firstDataCol="1"/>
  <pivotFields count="52"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65" showAll="0"/>
    <pivotField showAll="0"/>
    <pivotField dataField="1" numFmtId="164" showAll="0"/>
    <pivotField numFmtId="164" showAll="0"/>
    <pivotField numFmtId="164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h="1" x="8"/>
        <item h="1" x="0"/>
        <item x="1"/>
        <item h="1" x="4"/>
        <item h="1" x="2"/>
        <item h="1" x="3"/>
        <item h="1" x="5"/>
        <item h="1" x="6"/>
        <item h="1" x="7"/>
        <item h="1"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1" showAll="0"/>
    <pivotField numFmtId="3" showAll="0"/>
    <pivotField numFmtId="3" showAll="0"/>
    <pivotField numFmtId="3" showAll="0"/>
    <pivotField numFmtId="3" showAll="0"/>
    <pivotField numFmtId="165" showAll="0"/>
    <pivotField numFmtId="3" showAll="0"/>
    <pivotField numFmtId="165" showAll="0"/>
    <pivotField numFmtId="165" showAll="0"/>
    <pivotField numFmtId="3" showAll="0"/>
    <pivotField numFmtId="3" showAll="0"/>
  </pivotFields>
  <rowFields count="1">
    <field x="28"/>
  </rowFields>
  <rowItems count="2"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כמות אוכלוסייה בסוף השנה (2022)" fld="6" baseField="0" baseItem="0" numFmtId="164"/>
  </dataFields>
  <chartFormats count="6">
    <chartFormat chart="2" format="13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2" format="15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5038A-13B6-0943-8172-DA2308123E24}" name="PivotTable9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7:M22" firstHeaderRow="1" firstDataRow="2" firstDataCol="1"/>
  <pivotFields count="52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numFmtId="165" showAll="0"/>
    <pivotField showAll="0"/>
    <pivotField numFmtId="164" showAll="0"/>
    <pivotField numFmtId="164" showAll="0"/>
    <pivotField numFmtId="164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12">
        <item x="8"/>
        <item x="0"/>
        <item x="1"/>
        <item x="4"/>
        <item x="2"/>
        <item x="3"/>
        <item x="5"/>
        <item x="6"/>
        <item x="7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1" showAll="0"/>
    <pivotField numFmtId="3" showAll="0"/>
    <pivotField numFmtId="3" showAll="0"/>
    <pivotField numFmtId="3" showAll="0"/>
    <pivotField numFmtId="3" showAll="0"/>
    <pivotField numFmtId="165" showAll="0"/>
    <pivotField numFmtId="3" showAll="0"/>
    <pivotField numFmtId="165" showAll="0"/>
    <pivotField numFmtId="165" showAll="0"/>
    <pivotField numFmtId="3" showAll="0"/>
    <pivotField numFmtId="3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2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שם רשות מקומית" fld="0" subtotal="count" baseField="0" baseItem="0"/>
  </dataFields>
  <chartFormats count="38">
    <chartFormat chart="2" format="7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2" format="7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2" format="72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2" format="1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2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28" count="1" selected="0">
            <x v="3"/>
          </reference>
        </references>
      </pivotArea>
    </chartFormat>
    <chartFormat chart="2" format="12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28" count="1" selected="0">
            <x v="4"/>
          </reference>
        </references>
      </pivotArea>
    </chartFormat>
    <chartFormat chart="2" format="13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28" count="1" selected="0">
            <x v="5"/>
          </reference>
        </references>
      </pivotArea>
    </chartFormat>
    <chartFormat chart="2" format="13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28" count="1" selected="0">
            <x v="6"/>
          </reference>
        </references>
      </pivotArea>
    </chartFormat>
    <chartFormat chart="2" format="13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28" count="1" selected="0">
            <x v="7"/>
          </reference>
        </references>
      </pivotArea>
    </chartFormat>
    <chartFormat chart="2" format="13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28" count="1" selected="0">
            <x v="8"/>
          </reference>
        </references>
      </pivotArea>
    </chartFormat>
    <chartFormat chart="2" format="13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28" count="1" selected="0">
            <x v="9"/>
          </reference>
        </references>
      </pivotArea>
    </chartFormat>
    <chartFormat chart="2" format="13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28" count="1" selected="0">
            <x v="10"/>
          </reference>
        </references>
      </pivotArea>
    </chartFormat>
    <chartFormat chart="2" format="13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8" count="1" selected="0">
            <x v="1"/>
          </reference>
        </references>
      </pivotArea>
    </chartFormat>
    <chartFormat chart="2" format="13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8" count="1" selected="0">
            <x v="2"/>
          </reference>
        </references>
      </pivotArea>
    </chartFormat>
    <chartFormat chart="2" format="13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8" count="1" selected="0">
            <x v="3"/>
          </reference>
        </references>
      </pivotArea>
    </chartFormat>
    <chartFormat chart="2" format="13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8" count="1" selected="0">
            <x v="4"/>
          </reference>
        </references>
      </pivotArea>
    </chartFormat>
    <chartFormat chart="2" format="14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8" count="1" selected="0">
            <x v="6"/>
          </reference>
        </references>
      </pivotArea>
    </chartFormat>
    <chartFormat chart="2" format="14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8" count="1" selected="0">
            <x v="7"/>
          </reference>
        </references>
      </pivotArea>
    </chartFormat>
    <chartFormat chart="2" format="14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8" count="1" selected="0">
            <x v="0"/>
          </reference>
        </references>
      </pivotArea>
    </chartFormat>
    <chartFormat chart="2" format="14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8" count="1" selected="0">
            <x v="1"/>
          </reference>
        </references>
      </pivotArea>
    </chartFormat>
    <chartFormat chart="2" format="14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8" count="1" selected="0">
            <x v="2"/>
          </reference>
        </references>
      </pivotArea>
    </chartFormat>
    <chartFormat chart="2" format="14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8" count="1" selected="0">
            <x v="3"/>
          </reference>
        </references>
      </pivotArea>
    </chartFormat>
    <chartFormat chart="2" format="14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8" count="1" selected="0">
            <x v="4"/>
          </reference>
        </references>
      </pivotArea>
    </chartFormat>
    <chartFormat chart="2" format="14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8" count="1" selected="0">
            <x v="5"/>
          </reference>
        </references>
      </pivotArea>
    </chartFormat>
    <chartFormat chart="2" format="14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8" count="1" selected="0">
            <x v="6"/>
          </reference>
        </references>
      </pivotArea>
    </chartFormat>
    <chartFormat chart="2" format="149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2" format="150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2" format="15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2" format="152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2" format="153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2" format="154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2" format="155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6"/>
          </reference>
        </references>
      </pivotArea>
    </chartFormat>
    <chartFormat chart="2" format="156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7"/>
          </reference>
        </references>
      </pivotArea>
    </chartFormat>
    <chartFormat chart="2" format="157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8"/>
          </reference>
        </references>
      </pivotArea>
    </chartFormat>
    <chartFormat chart="2" format="158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9"/>
          </reference>
        </references>
      </pivotArea>
    </chartFormat>
    <chartFormat chart="2" format="159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773A4-4A14-474A-891A-AE31F200F059}" name="PivotTable8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52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numFmtId="165" showAll="0"/>
    <pivotField showAll="0"/>
    <pivotField numFmtId="164" showAll="0"/>
    <pivotField numFmtId="164" showAll="0"/>
    <pivotField numFmtId="164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1" showAll="0"/>
    <pivotField numFmtId="3" showAll="0"/>
    <pivotField numFmtId="3" showAll="0"/>
    <pivotField numFmtId="3" showAll="0"/>
    <pivotField numFmtId="3" showAll="0"/>
    <pivotField numFmtId="165" showAll="0"/>
    <pivotField numFmtId="3" showAll="0"/>
    <pivotField numFmtId="165" showAll="0"/>
    <pivotField numFmtId="165" showAll="0"/>
    <pivotField numFmtId="3" showAll="0"/>
    <pivotField numFmtId="3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מאזן הגירה ביישוב_x000a_סה&quot;כ" fld="20" showDataAs="percentOfCol" baseField="0" baseItem="0" numFmtId="10"/>
  </dataFields>
  <chartFormats count="3">
    <chartFormat chart="0" format="2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ADA08-51E3-B340-8EBB-FF4A1D717206}" name="PivotTable16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E15" firstHeaderRow="1" firstDataRow="2" firstDataCol="1"/>
  <pivotFields count="52">
    <pivotField showAll="0"/>
    <pivotField showAll="0"/>
    <pivotField axis="axisCol" showAll="0">
      <items count="4">
        <item n="רשויות יהודיות" x="1"/>
        <item n="רשויות מעורבות" x="2"/>
        <item n="רשויות ערביות" x="0"/>
        <item t="default"/>
      </items>
    </pivotField>
    <pivotField showAll="0"/>
    <pivotField numFmtId="165" showAll="0"/>
    <pivotField showAll="0"/>
    <pivotField numFmtId="164" showAll="0"/>
    <pivotField numFmtId="164" showAll="0"/>
    <pivotField numFmtId="164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2">
        <item x="4"/>
        <item x="8"/>
        <item x="1"/>
        <item x="9"/>
        <item x="0"/>
        <item x="3"/>
        <item x="5"/>
        <item x="2"/>
        <item x="7"/>
        <item x="6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1" showAll="0"/>
    <pivotField numFmtId="3" showAll="0"/>
    <pivotField numFmtId="3" showAll="0"/>
    <pivotField numFmtId="3" showAll="0"/>
    <pivotField numFmtId="3" showAll="0"/>
    <pivotField numFmtId="165" showAll="0"/>
    <pivotField numFmtId="3" showAll="0"/>
    <pivotField numFmtId="165" showAll="0"/>
    <pivotField numFmtId="165" showAll="0"/>
    <pivotField numFmtId="3" showAll="0"/>
    <pivotField numFmtId="3" showAll="0"/>
  </pivotFields>
  <rowFields count="1">
    <field x="3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דירוג אשכול פריפריאליות, 2020_x000a_(מ-1 עד 10, 1 הפריפריאלי ביותר) " fld="30" subtotal="count" baseField="0" baseItem="0"/>
  </dataFields>
  <chartFormats count="26">
    <chartFormat chart="0" format="3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8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9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0" count="1" selected="0">
            <x v="4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0" count="1" selected="0">
            <x v="4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0" count="1" selected="0">
            <x v="5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0" count="1" selected="0">
            <x v="5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0" count="1" selected="0">
            <x v="5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0" count="1" selected="0">
            <x v="6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0" count="1" selected="0">
            <x v="6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0" count="1" selected="0">
            <x v="7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0" count="1" selected="0">
            <x v="7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0" count="1" selected="0">
            <x v="8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0" count="1" selected="0">
            <x v="8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0" count="1" selected="0">
            <x v="9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5575F-35AF-9C49-BB1F-01BD482B7A01}" name="PivotTable18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16" firstHeaderRow="1" firstDataRow="2" firstDataCol="1"/>
  <pivotFields count="52">
    <pivotField showAll="0"/>
    <pivotField showAll="0"/>
    <pivotField axis="axisCol" dataField="1" showAll="0">
      <items count="4">
        <item x="1"/>
        <item x="2"/>
        <item x="0"/>
        <item t="default"/>
      </items>
    </pivotField>
    <pivotField showAll="0"/>
    <pivotField numFmtId="165" showAll="0"/>
    <pivotField showAll="0"/>
    <pivotField numFmtId="164" showAll="0"/>
    <pivotField numFmtId="164" showAll="0"/>
    <pivotField numFmtId="164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8"/>
        <item x="0"/>
        <item x="1"/>
        <item x="4"/>
        <item x="2"/>
        <item x="3"/>
        <item x="5"/>
        <item x="6"/>
        <item x="7"/>
        <item x="9"/>
        <item x="10"/>
        <item t="default"/>
      </items>
    </pivotField>
    <pivotField showAll="0">
      <items count="12">
        <item x="6"/>
        <item x="0"/>
        <item x="1"/>
        <item x="4"/>
        <item x="2"/>
        <item x="3"/>
        <item x="5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1" showAll="0"/>
    <pivotField numFmtId="3" showAll="0"/>
    <pivotField numFmtId="3" showAll="0"/>
    <pivotField numFmtId="3" showAll="0"/>
    <pivotField numFmtId="3" showAll="0"/>
    <pivotField numFmtId="165" showAll="0"/>
    <pivotField numFmtId="3" showAll="0"/>
    <pivotField numFmtId="165" showAll="0"/>
    <pivotField numFmtId="165" showAll="0"/>
    <pivotField numFmtId="3" showAll="0"/>
    <pivotField numFmtId="3" showAll="0"/>
  </pivotFields>
  <rowFields count="1">
    <field x="2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סוג רשות " fld="2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1A73A-96FC-5E4F-ABE4-BDD2840DF615}" name="PivotTable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7" firstHeaderRow="1" firstDataRow="1" firstDataCol="1"/>
  <pivotFields count="5">
    <pivotField dataField="1" numFmtId="165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ערבים (אחוזים)" fld="0" subtotal="count" showDataAs="percentOfTotal" baseField="0" baseItem="0" numFmtId="1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CC56D0-5651-9A4D-9AF2-D845DEEAAD34}" name="Table2" displayName="Table2" ref="A77:M78" totalsRowShown="0" headerRowDxfId="70">
  <autoFilter ref="A77:M78" xr:uid="{48CC56D0-5651-9A4D-9AF2-D845DEEAAD34}"/>
  <tableColumns count="13">
    <tableColumn id="2" xr3:uid="{08D7DBE7-CE2D-D64C-8804-44EFCA607690}" name="Column2" dataDxfId="7"/>
    <tableColumn id="1" xr3:uid="{288799B7-04B2-2F40-AE66-CF48E27F2501}" name="Column1" dataDxfId="6"/>
    <tableColumn id="3" xr3:uid="{6A57CFE4-8153-5F46-8195-2FB4143CA210}" name="סה&quot;כ הכנסות עצמיות" dataDxfId="18" dataCellStyle="Comma"/>
    <tableColumn id="4" xr3:uid="{99836F74-3AA5-F149-A943-54D930D076CB}" name="הכנסות עצמיות: מארנונה" dataDxfId="17" dataCellStyle="Comma"/>
    <tableColumn id="5" xr3:uid="{5F2AD2B8-A5E1-EF4F-B622-DDC70D803F9F}" name="ארנונה למגורים: סה&quot;כ גביות" dataDxfId="16" dataCellStyle="Comma"/>
    <tableColumn id="6" xr3:uid="{CA72660A-C0C1-9B4A-BFB5-3A978AC34D2C}" name="ארנונה למגורים: סה&quot;כ חיובים נטו" dataDxfId="15" dataCellStyle="Comma"/>
    <tableColumn id="7" xr3:uid="{BFBAFE6B-2DAE-FD41-B922-2FD8C9D1F683}" name="ארנונה למגורים: יחס גבייה ב-% לכלל החיובים" dataDxfId="14" dataCellStyle="Per cent"/>
    <tableColumn id="8" xr3:uid="{94FF6532-CBF3-0D49-9D8D-E482CA08714C}" name="ארנונה למגורים: גבייה השנה (קרן + ריבית)" dataDxfId="13" dataCellStyle="Comma"/>
    <tableColumn id="9" xr3:uid="{918FED01-E188-FE4B-937A-D90FB79AF4C0}" name="ארנונה למגורים: חיוב בשנת החשבון" dataDxfId="12" dataCellStyle="Comma"/>
    <tableColumn id="10" xr3:uid="{284003D8-4227-0C4B-9331-243AEE1FECF6}" name="ארנונה למגורים: יחס גבייה ב-% לחיוב השנה" dataDxfId="11" dataCellStyle="Per cent"/>
    <tableColumn id="11" xr3:uid="{83D528CF-4EE9-EB49-B6FC-7E1F9C9A0FF9}" name="ארנונה למגורים: סה&quot;כ פטורים, שחרורים והנחות" dataDxfId="10" dataCellStyle="Comma"/>
    <tableColumn id="12" xr3:uid="{A53AAB30-4A3F-174F-9B42-FB66B477F678}" name="ארנונה למגורים: גביית פיגורים (קרן + ריבית)" dataDxfId="9" dataCellStyle="Comma"/>
    <tableColumn id="13" xr3:uid="{F6B42848-EEB6-6A4F-97FE-C836A5223B37}" name="ארנונה לא למגורים: _x000a_גבייה" dataDxfId="8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1AE91-BBEF-D54B-A13E-81AD94FB9CEF}" name="Table1" displayName="Table1" ref="A1:AZ257" totalsRowShown="0">
  <autoFilter ref="A1:AZ257" xr:uid="{D0F1AE91-BBEF-D54B-A13E-81AD94FB9CEF}"/>
  <sortState xmlns:xlrd2="http://schemas.microsoft.com/office/spreadsheetml/2017/richdata2" ref="A2:AR257">
    <sortCondition descending="1" ref="B1:B257"/>
  </sortState>
  <tableColumns count="52">
    <tableColumn id="1" xr3:uid="{74B72D50-2B75-DA47-8297-8612FEC35762}" name="שם רשות מקומית" dataDxfId="3"/>
    <tableColumn id="2" xr3:uid="{0FF98A7E-E2AC-0441-9D7D-9BF7949EDB01}" name="מעמד מוניצפאלי " dataDxfId="66"/>
    <tableColumn id="3" xr3:uid="{ED186821-64CF-8D42-AE03-B87C7D7B9AC9}" name="סוג רשות " dataDxfId="65"/>
    <tableColumn id="47" xr3:uid="{410E810A-2A1A-024B-956D-21D2E5BFC766}" name="סיום בית ספר תיכון עם תעודת בגרות  (2021)" dataDxfId="64"/>
    <tableColumn id="46" xr3:uid="{B309D29A-A79A-9045-9DD7-C7F2E3AB8E8E}" name="אחוז בעלי תארים מישראל מתוך אוכלוסיית בני 55-35" dataDxfId="63"/>
    <tableColumn id="45" xr3:uid="{6FEB0B0A-4ACF-744E-9C61-31854A6D12A4}" name="ערבים (אחוזים)" dataDxfId="62"/>
    <tableColumn id="4" xr3:uid="{6961C037-9120-1942-8B12-096439A72ADF}" name="כמות אוכלוסייה בסוף השנה (2022)" dataDxfId="61" dataCellStyle="Comma"/>
    <tableColumn id="5" xr3:uid="{16D1AD0F-D52C-2E49-8FAD-08407E1F643E}" name="סה&quot;כ גברים בסוף השנה (2022)" dataDxfId="60" dataCellStyle="Comma"/>
    <tableColumn id="6" xr3:uid="{B22F6440-E5C7-F341-A709-43109397C110}" name="סה&quot;כ נשים בסוף השנה (2022)" dataDxfId="59" dataCellStyle="Comma"/>
    <tableColumn id="7" xr3:uid="{D83937DD-49EC-0848-82D7-27152B012A76}" name="אחוז באוכלוסייה בסוף השנה בני 0-4" dataDxfId="58" dataCellStyle="Comma"/>
    <tableColumn id="8" xr3:uid="{59EDCB7B-6AD3-9C44-A605-1F783A7BCC96}" name="אחוז באוכלוסייה בסוף השנה בני 9-5" dataDxfId="57" dataCellStyle="Comma"/>
    <tableColumn id="9" xr3:uid="{B65BB640-BB1B-6E4B-878F-7742CBF76779}" name="אחוז באוכלוסייה בסוף השנה בני 14-10" dataDxfId="56" dataCellStyle="Comma"/>
    <tableColumn id="10" xr3:uid="{7C3AE20D-D9A8-6341-B250-870FC29C2B55}" name="אחוז באוכלוסייה בסוף השנה בני 19-15" dataDxfId="55" dataCellStyle="Comma"/>
    <tableColumn id="11" xr3:uid="{BB4FB246-D64D-F24A-811B-557FC9013ABD}" name=" אחוז באוכלוסייה בסוף השנה בני 29-20" dataDxfId="54" dataCellStyle="Comma"/>
    <tableColumn id="12" xr3:uid="{81B26F46-48D9-4D42-AF83-A4D4B5744A8E}" name="אחוז באוכלוסייה בסוף השנה בני 44-30" dataDxfId="53" dataCellStyle="Comma"/>
    <tableColumn id="13" xr3:uid="{AB156D49-5435-D845-8EFF-19929ED0CB82}" name="אחוז באוכלוסייה בסוף השנה בני 59-45" dataDxfId="52" dataCellStyle="Comma"/>
    <tableColumn id="14" xr3:uid="{B9C26FD1-6890-6B41-A838-3334904315AD}" name="אחוז באוכלוסייה בסוף השנה בני 64-60" dataDxfId="51" dataCellStyle="Comma"/>
    <tableColumn id="15" xr3:uid="{A039A0D1-D56A-3447-8061-298673FCAB54}" name="אחוז באוכלוסייה בסוף השנה בני 65 ומעלה" dataDxfId="50" dataCellStyle="Comma"/>
    <tableColumn id="16" xr3:uid="{D03557EC-C4E9-4B49-B128-F122DFF5FEBD}" name="אחוז באוכלוסייה בסוף השנה בני 17-0" dataDxfId="49" dataCellStyle="Comma"/>
    <tableColumn id="17" xr3:uid="{BE1B0717-33A5-914A-B37E-B593243BAFB3}" name="אחוז באוכלוסייה בסוף השנה בני 75 ומעלה" dataDxfId="48" dataCellStyle="Comma"/>
    <tableColumn id="18" xr3:uid="{7B79CCC5-5BC6-7445-A14B-1C8976F85B86}" name="מאזן הגירה ביישוב_x000a_סה&quot;כ" dataDxfId="47" dataCellStyle="Comma"/>
    <tableColumn id="19" xr3:uid="{2B458181-EF33-314B-A524-D587614885AC}" name="מספר מקבלי דמי אבטלה _x000a_(סה&quot;כ שנתי)" dataDxfId="46" dataCellStyle="Comma"/>
    <tableColumn id="20" xr3:uid="{8655B80C-10B0-CE4C-A532-7E1418AACA17}" name="התחלת בנייה שטח_x000a_(אלפי מ&quot;ר)" dataDxfId="45" dataCellStyle="Comma"/>
    <tableColumn id="21" xr3:uid="{908E5446-9263-EC4F-B6D3-6070C228E6AD}" name="התחלת בנייה שטח למגורים_x000a_(אלפי מ&quot;ר)" dataDxfId="44" dataCellStyle="Comma"/>
    <tableColumn id="22" xr3:uid="{CA5EAD89-6D8E-1E41-B380-96EA02CC3380}" name="התחלת בנייה - מספר דירות (2022)" dataDxfId="43" dataCellStyle="Comma"/>
    <tableColumn id="23" xr3:uid="{09AD39A1-97D6-EE47-94DA-A06EDC5CC5CD}" name="גמר בנייה שטח_x000a_(אלפי מ&quot;ר)" dataDxfId="42" dataCellStyle="Comma"/>
    <tableColumn id="24" xr3:uid="{3DF129EC-C179-4642-8686-CC70B6D0502F}" name="גמר בנייה שטח למגורים_x000a_(אלפי מ&quot;ר)" dataDxfId="41" dataCellStyle="Comma"/>
    <tableColumn id="25" xr3:uid="{07C156E3-99E5-4246-9EC4-2880C93F2915}" name="גמר בנייה- מספר דירות (2022)" dataDxfId="40" dataCellStyle="Comma"/>
    <tableColumn id="38" xr3:uid="{C5F686B2-6D55-4D48-8070-AF30F21CA17C}" name="אשכול לפי המדד החברתי- כלכלי, 2021" dataDxfId="39" dataCellStyle="Comma"/>
    <tableColumn id="26" xr3:uid="{F2BDF1F9-9F3C-0E47-BBBB-02375224A474}" name="אשכול לפי המדד החברתי-כלכלי , 2019" dataDxfId="1" dataCellStyle="Comma"/>
    <tableColumn id="27" xr3:uid="{253935BB-251B-6F46-AE4C-4542A3B837D7}" name="דירוג אשכול פריפריאליות, 2020_x000a_(מ-1 עד 10, 1 הפריפריאלי ביותר) " dataDxfId="2" dataCellStyle="Comma"/>
    <tableColumn id="28" xr3:uid="{118485FE-ED77-B24B-9692-DE182B02906E}" name="אחוז מסך כל שטח שיפוט לתעשייה (2022)" dataDxfId="38" dataCellStyle="Normal_עיריה_מק_14_ממויין_1"/>
    <tableColumn id="29" xr3:uid="{D534153A-76D5-7047-A5B5-BADACAB772B4}" name="בחירות לכנסת ה-25_x000a_01/11/22 אחוזי הצבעה" dataDxfId="37" dataCellStyle="Comma"/>
    <tableColumn id="30" xr3:uid="{2E0016E3-D73C-3E49-A2E2-EE08FDCF0CBB}" name="התחלת בנייה: שטח (אלפי מ&quot;ר) - סה&quot;כ 2013" dataDxfId="36" dataCellStyle="Comma"/>
    <tableColumn id="31" xr3:uid="{1958C586-4E92-1B4D-BF0A-D50A3A99F8DE}" name="התחלת בנייה: שטח  למגורים (אלפי מ&quot;ר) 2013" dataDxfId="35" dataCellStyle="Comma"/>
    <tableColumn id="32" xr3:uid="{A7530E1E-1545-6940-9DB1-A2C4399B1AB9}" name="התחלת בנייה: מספר דירות 2013" dataDxfId="34" dataCellStyle="Comma"/>
    <tableColumn id="33" xr3:uid="{A3AA6421-8332-3A46-BE84-3DD06D529E12}" name="גמר בנייה: שטח (אלפי מ&quot;ר) - סה&quot;כ 2013" dataDxfId="33" dataCellStyle="Comma"/>
    <tableColumn id="34" xr3:uid="{90E17254-EC84-5F4C-BFE7-431302F021C8}" name="גמר בנייה: שטח למגורים (אלפי מ&quot;ר) 2013" dataDxfId="32" dataCellStyle="Comma"/>
    <tableColumn id="35" xr3:uid="{7A131599-CAA7-3E4F-95EC-C5C3872BA82E}" name="גמר בנייה: מספר דירות 2013" dataDxfId="31" dataCellStyle="Comma"/>
    <tableColumn id="36" xr3:uid="{F53078B9-A0F2-D143-9C14-EA5C41ABD80D}" name="סה&quot;כ הוצאות של הרשות בתקציב רגיל (אלפי ש&quot;ח) 2013" dataDxfId="30" dataCellStyle="Comma"/>
    <tableColumn id="37" xr3:uid="{3DF40C4C-1262-F54C-9412-76786AF8355D}" name="Column2" dataDxfId="29" dataCellStyle="Comma"/>
    <tableColumn id="48" xr3:uid="{C71F23B5-CC52-8541-BAF2-41046CFA722F}" name="מלוות לאיזון" dataDxfId="28" dataCellStyle="Comma"/>
    <tableColumn id="39" xr3:uid="{21AF3A56-6001-C147-B8FE-9957A1EB058A}" name="סה&quot;כ הכנסות עצמיות (2022)" dataDxfId="27" dataCellStyle="Comma"/>
    <tableColumn id="40" xr3:uid="{BB89C573-95F1-6B41-8591-55C2CFCE2613}" name="הכנסות עצמיות: מארנונה (2022)" dataDxfId="26" dataCellStyle="Comma"/>
    <tableColumn id="41" xr3:uid="{F0425E0E-DEC1-5D48-AD8D-74CC73F0C142}" name="ארנונה למגורים: סה&quot;כ גביות" dataDxfId="5" dataCellStyle="Comma"/>
    <tableColumn id="42" xr3:uid="{422C6A57-27F3-DB44-A4C7-C18F0ECE9DE5}" name="ארנונה למגורים: סה&quot;כ חיובים נטו" dataDxfId="4" dataCellStyle="Comma"/>
    <tableColumn id="43" xr3:uid="{F1130DEB-8EBD-AA48-AF2F-0DF27401D364}" name="סך הכל הכנסות מהממשלה (2022)" dataDxfId="25" dataCellStyle="Comma"/>
    <tableColumn id="44" xr3:uid="{4CA4625C-CAE3-874B-93AC-A948348A3F0F}" name="הוצאה לנפש בתקציב הרגיל (ש&quot;ח), 2022" dataDxfId="24" dataCellStyle="Comma"/>
    <tableColumn id="49" xr3:uid="{D0E60245-3E65-A34D-953A-B982E3E18545}" name="סה&quot;כ חיוב ארנונה - חיוב באלפי ₪" dataDxfId="23" dataCellStyle="Comma"/>
    <tableColumn id="50" xr3:uid="{5A8D6DC6-7E6E-F74D-B5F1-2F7327CD34BA}" name="למגורים" dataDxfId="22" dataCellStyle="Comma"/>
    <tableColumn id="51" xr3:uid="{CD049B7F-5105-8747-B498-38F9100A7EAC}" name="למשרדים, שירותים ומסחר" dataDxfId="21" dataCellStyle="Comma"/>
    <tableColumn id="52" xr3:uid="{62222845-4C75-0247-BD21-32FD123F5798}" name="לתעשייה" dataDxfId="20" data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96FA9F-52ED-9743-85AD-6B70C72C793F}" name="Table4" displayName="Table4" ref="A25:D28" totalsRowShown="0">
  <autoFilter ref="A25:D28" xr:uid="{BE96FA9F-52ED-9743-85AD-6B70C72C793F}"/>
  <tableColumns count="4">
    <tableColumn id="1" xr3:uid="{C208DA5C-1133-A749-B61C-4EF2E4ED5FD6}" name="סוג יישוב" dataDxfId="19"/>
    <tableColumn id="2" xr3:uid="{31A3DB10-2FC1-164F-AD30-04E9FD98AA07}" name="אחוז חיובי ארנונה למגורים (מתוך סך חיובי ארנונה (באלפי ש״ח)">
      <calculatedColumnFormula>B20/A20</calculatedColumnFormula>
    </tableColumn>
    <tableColumn id="3" xr3:uid="{B30EAD52-94A3-A746-97BD-DEF8E3F1CC8F}" name="אחוז חיובי ארנונה למשרדים, שירותים ומסחר (מתוך סך חיובי ארנונה (באלפי ש״ח)">
      <calculatedColumnFormula>C20/A20</calculatedColumnFormula>
    </tableColumn>
    <tableColumn id="4" xr3:uid="{66B11BE9-3572-0543-9105-7D211A9493BE}" name="אחוז חיובי ארנונה לתעשייה (מתוך סך חיובי ארנונה (באלפי ש״ח)">
      <calculatedColumnFormula>D20/A20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6A8689-C5A5-A543-B59F-F120BBE0AE42}" name="Table3" displayName="Table3" ref="A1:E109" totalsRowShown="0">
  <autoFilter ref="A1:E109" xr:uid="{876A8689-C5A5-A543-B59F-F120BBE0AE42}"/>
  <tableColumns count="5">
    <tableColumn id="1" xr3:uid="{D03C8AA5-4D9F-5345-9441-8565FF3C8F27}" name="ערבים (אחוזים)" dataDxfId="69"/>
    <tableColumn id="2" xr3:uid="{D878AD1D-3B68-C94A-9108-2A39C91A389E}" name="מחוז " dataDxfId="68" dataCellStyle="Normal_מ.אזורית2_14"/>
    <tableColumn id="3" xr3:uid="{731494E3-30F2-5542-B494-5EE24E8CD959}" name="שם רשות" dataDxfId="67"/>
    <tableColumn id="4" xr3:uid="{B96E65AE-EFF6-564F-8E3E-8B62962A6365}" name="מעמד מוניציפאלי"/>
    <tableColumn id="5" xr3:uid="{7933C0F3-69CB-5C41-84EC-32499B599A33}" name="סוג רשו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9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F9AD-1706-BA46-A356-9F508DE4475A}">
  <dimension ref="A3:B7"/>
  <sheetViews>
    <sheetView workbookViewId="0">
      <selection activeCell="H38" sqref="H38"/>
    </sheetView>
  </sheetViews>
  <sheetFormatPr baseColWidth="10" defaultRowHeight="16"/>
  <cols>
    <col min="1" max="1" width="13.1640625" bestFit="1" customWidth="1"/>
    <col min="2" max="2" width="18.5" bestFit="1" customWidth="1"/>
    <col min="3" max="3" width="13.1640625" bestFit="1" customWidth="1"/>
    <col min="4" max="4" width="5.6640625" bestFit="1" customWidth="1"/>
    <col min="5" max="6" width="10.5" bestFit="1" customWidth="1"/>
  </cols>
  <sheetData>
    <row r="3" spans="1:2">
      <c r="A3" s="52" t="s">
        <v>303</v>
      </c>
      <c r="B3" t="s">
        <v>316</v>
      </c>
    </row>
    <row r="4" spans="1:2">
      <c r="A4" s="53" t="s">
        <v>319</v>
      </c>
      <c r="B4" s="54">
        <v>0.69926650366748178</v>
      </c>
    </row>
    <row r="5" spans="1:2">
      <c r="A5" s="53" t="s">
        <v>318</v>
      </c>
      <c r="B5" s="54">
        <v>0.18337408312958436</v>
      </c>
    </row>
    <row r="6" spans="1:2">
      <c r="A6" s="53" t="s">
        <v>320</v>
      </c>
      <c r="B6" s="54">
        <v>0.11735941320293398</v>
      </c>
    </row>
    <row r="7" spans="1:2">
      <c r="A7" s="53" t="s">
        <v>302</v>
      </c>
      <c r="B7" s="54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73677-9709-6548-AD22-31BAFBC01314}">
  <dimension ref="A3:M78"/>
  <sheetViews>
    <sheetView topLeftCell="A44" workbookViewId="0">
      <selection activeCell="E66" sqref="E66"/>
    </sheetView>
  </sheetViews>
  <sheetFormatPr baseColWidth="10" defaultRowHeight="16"/>
  <cols>
    <col min="1" max="1" width="13" bestFit="1" customWidth="1"/>
    <col min="2" max="2" width="25" bestFit="1" customWidth="1"/>
    <col min="3" max="11" width="3.1640625" bestFit="1" customWidth="1"/>
    <col min="12" max="12" width="7" bestFit="1" customWidth="1"/>
    <col min="13" max="13" width="10.5" bestFit="1" customWidth="1"/>
    <col min="14" max="14" width="6.1640625" bestFit="1" customWidth="1"/>
    <col min="15" max="15" width="6.5" bestFit="1" customWidth="1"/>
    <col min="16" max="20" width="6.1640625" bestFit="1" customWidth="1"/>
    <col min="21" max="23" width="6.5" bestFit="1" customWidth="1"/>
    <col min="24" max="25" width="6.1640625" bestFit="1" customWidth="1"/>
    <col min="26" max="26" width="6.5" bestFit="1" customWidth="1"/>
    <col min="27" max="28" width="6.1640625" bestFit="1" customWidth="1"/>
    <col min="29" max="29" width="6.5" bestFit="1" customWidth="1"/>
    <col min="30" max="30" width="6.1640625" bestFit="1" customWidth="1"/>
    <col min="31" max="35" width="6.5" bestFit="1" customWidth="1"/>
    <col min="36" max="39" width="6.1640625" bestFit="1" customWidth="1"/>
    <col min="40" max="40" width="6.5" bestFit="1" customWidth="1"/>
    <col min="41" max="42" width="6.1640625" bestFit="1" customWidth="1"/>
    <col min="43" max="43" width="6.5" bestFit="1" customWidth="1"/>
    <col min="44" max="44" width="6.1640625" bestFit="1" customWidth="1"/>
    <col min="45" max="45" width="6.5" bestFit="1" customWidth="1"/>
    <col min="46" max="46" width="6.1640625" bestFit="1" customWidth="1"/>
    <col min="47" max="47" width="6.5" bestFit="1" customWidth="1"/>
    <col min="48" max="48" width="6.1640625" bestFit="1" customWidth="1"/>
    <col min="49" max="49" width="6.5" bestFit="1" customWidth="1"/>
    <col min="50" max="50" width="6.1640625" bestFit="1" customWidth="1"/>
    <col min="51" max="54" width="6.5" bestFit="1" customWidth="1"/>
    <col min="55" max="56" width="6.1640625" bestFit="1" customWidth="1"/>
    <col min="57" max="58" width="6.5" bestFit="1" customWidth="1"/>
    <col min="59" max="59" width="6.1640625" bestFit="1" customWidth="1"/>
    <col min="60" max="61" width="6.5" bestFit="1" customWidth="1"/>
    <col min="62" max="62" width="6.1640625" bestFit="1" customWidth="1"/>
    <col min="63" max="65" width="6.5" bestFit="1" customWidth="1"/>
    <col min="66" max="67" width="6.1640625" bestFit="1" customWidth="1"/>
    <col min="68" max="68" width="6.5" bestFit="1" customWidth="1"/>
    <col min="69" max="74" width="6.1640625" bestFit="1" customWidth="1"/>
    <col min="75" max="75" width="6.5" bestFit="1" customWidth="1"/>
    <col min="76" max="76" width="6.1640625" bestFit="1" customWidth="1"/>
    <col min="77" max="80" width="6.5" bestFit="1" customWidth="1"/>
    <col min="81" max="160" width="7.1640625" bestFit="1" customWidth="1"/>
    <col min="161" max="161" width="7.5" bestFit="1" customWidth="1"/>
    <col min="162" max="163" width="7.1640625" bestFit="1" customWidth="1"/>
    <col min="164" max="164" width="7.5" bestFit="1" customWidth="1"/>
    <col min="165" max="177" width="7.1640625" bestFit="1" customWidth="1"/>
    <col min="178" max="178" width="7.5" bestFit="1" customWidth="1"/>
    <col min="179" max="180" width="7.1640625" bestFit="1" customWidth="1"/>
    <col min="181" max="181" width="7.5" bestFit="1" customWidth="1"/>
    <col min="182" max="186" width="7.1640625" bestFit="1" customWidth="1"/>
    <col min="187" max="187" width="7.5" bestFit="1" customWidth="1"/>
    <col min="188" max="188" width="7.1640625" bestFit="1" customWidth="1"/>
    <col min="189" max="189" width="7.5" bestFit="1" customWidth="1"/>
    <col min="190" max="193" width="7.1640625" bestFit="1" customWidth="1"/>
    <col min="194" max="194" width="7.5" bestFit="1" customWidth="1"/>
    <col min="195" max="196" width="7.1640625" bestFit="1" customWidth="1"/>
    <col min="197" max="198" width="7.5" bestFit="1" customWidth="1"/>
    <col min="199" max="199" width="7.1640625" bestFit="1" customWidth="1"/>
    <col min="200" max="202" width="7.5" bestFit="1" customWidth="1"/>
    <col min="203" max="203" width="7.1640625" bestFit="1" customWidth="1"/>
    <col min="204" max="205" width="7.5" bestFit="1" customWidth="1"/>
    <col min="206" max="207" width="7.1640625" bestFit="1" customWidth="1"/>
    <col min="208" max="210" width="7.5" bestFit="1" customWidth="1"/>
    <col min="211" max="212" width="7.1640625" bestFit="1" customWidth="1"/>
    <col min="213" max="216" width="7.5" bestFit="1" customWidth="1"/>
    <col min="217" max="217" width="7.1640625" bestFit="1" customWidth="1"/>
    <col min="218" max="221" width="7.5" bestFit="1" customWidth="1"/>
    <col min="222" max="222" width="7.1640625" bestFit="1" customWidth="1"/>
    <col min="223" max="227" width="7.5" bestFit="1" customWidth="1"/>
    <col min="228" max="228" width="7.1640625" bestFit="1" customWidth="1"/>
    <col min="229" max="232" width="7.5" bestFit="1" customWidth="1"/>
    <col min="233" max="234" width="7.1640625" bestFit="1" customWidth="1"/>
    <col min="235" max="238" width="7.5" bestFit="1" customWidth="1"/>
    <col min="239" max="239" width="7.1640625" bestFit="1" customWidth="1"/>
    <col min="240" max="252" width="8.1640625" bestFit="1" customWidth="1"/>
    <col min="253" max="257" width="8.83203125" bestFit="1" customWidth="1"/>
    <col min="258" max="258" width="32.5" bestFit="1" customWidth="1"/>
    <col min="259" max="259" width="8.6640625" bestFit="1" customWidth="1"/>
    <col min="260" max="261" width="6.6640625" bestFit="1" customWidth="1"/>
    <col min="262" max="264" width="7.6640625" bestFit="1" customWidth="1"/>
    <col min="265" max="267" width="6.6640625" bestFit="1" customWidth="1"/>
    <col min="268" max="268" width="7.6640625" bestFit="1" customWidth="1"/>
    <col min="269" max="269" width="6.6640625" bestFit="1" customWidth="1"/>
    <col min="270" max="271" width="7.6640625" bestFit="1" customWidth="1"/>
    <col min="272" max="274" width="6.6640625" bestFit="1" customWidth="1"/>
    <col min="275" max="275" width="7.6640625" bestFit="1" customWidth="1"/>
    <col min="276" max="276" width="6.6640625" bestFit="1" customWidth="1"/>
    <col min="277" max="279" width="7.6640625" bestFit="1" customWidth="1"/>
    <col min="280" max="280" width="6.6640625" bestFit="1" customWidth="1"/>
    <col min="281" max="282" width="7.6640625" bestFit="1" customWidth="1"/>
    <col min="283" max="283" width="6.6640625" bestFit="1" customWidth="1"/>
    <col min="284" max="294" width="7.6640625" bestFit="1" customWidth="1"/>
    <col min="295" max="295" width="6.6640625" bestFit="1" customWidth="1"/>
    <col min="296" max="296" width="7.6640625" bestFit="1" customWidth="1"/>
    <col min="297" max="298" width="6.6640625" bestFit="1" customWidth="1"/>
    <col min="299" max="305" width="7.6640625" bestFit="1" customWidth="1"/>
    <col min="306" max="306" width="6.6640625" bestFit="1" customWidth="1"/>
    <col min="307" max="321" width="7.6640625" bestFit="1" customWidth="1"/>
    <col min="322" max="322" width="6.6640625" bestFit="1" customWidth="1"/>
    <col min="323" max="325" width="7.6640625" bestFit="1" customWidth="1"/>
    <col min="326" max="326" width="6.6640625" bestFit="1" customWidth="1"/>
    <col min="327" max="328" width="7.6640625" bestFit="1" customWidth="1"/>
    <col min="329" max="329" width="6.6640625" bestFit="1" customWidth="1"/>
    <col min="330" max="366" width="7.6640625" bestFit="1" customWidth="1"/>
    <col min="367" max="367" width="7.1640625" bestFit="1" customWidth="1"/>
    <col min="368" max="387" width="7.6640625" bestFit="1" customWidth="1"/>
    <col min="388" max="388" width="7.1640625" bestFit="1" customWidth="1"/>
    <col min="389" max="415" width="7.6640625" bestFit="1" customWidth="1"/>
    <col min="416" max="417" width="8.6640625" bestFit="1" customWidth="1"/>
    <col min="418" max="418" width="7.1640625" bestFit="1" customWidth="1"/>
    <col min="419" max="419" width="7.6640625" bestFit="1" customWidth="1"/>
    <col min="420" max="420" width="8.6640625" bestFit="1" customWidth="1"/>
    <col min="421" max="421" width="7.6640625" bestFit="1" customWidth="1"/>
    <col min="422" max="422" width="8.6640625" bestFit="1" customWidth="1"/>
    <col min="423" max="423" width="7.6640625" bestFit="1" customWidth="1"/>
    <col min="424" max="424" width="7.1640625" bestFit="1" customWidth="1"/>
    <col min="425" max="425" width="8.6640625" bestFit="1" customWidth="1"/>
    <col min="426" max="431" width="7.6640625" bestFit="1" customWidth="1"/>
    <col min="432" max="432" width="8.6640625" bestFit="1" customWidth="1"/>
    <col min="433" max="433" width="7.6640625" bestFit="1" customWidth="1"/>
    <col min="434" max="434" width="8.6640625" bestFit="1" customWidth="1"/>
    <col min="435" max="440" width="7.6640625" bestFit="1" customWidth="1"/>
    <col min="441" max="441" width="8.6640625" bestFit="1" customWidth="1"/>
    <col min="442" max="442" width="7.6640625" bestFit="1" customWidth="1"/>
    <col min="443" max="443" width="8.6640625" bestFit="1" customWidth="1"/>
    <col min="444" max="444" width="7.6640625" bestFit="1" customWidth="1"/>
    <col min="445" max="445" width="8.6640625" bestFit="1" customWidth="1"/>
    <col min="446" max="446" width="7.6640625" bestFit="1" customWidth="1"/>
    <col min="447" max="447" width="8.6640625" bestFit="1" customWidth="1"/>
    <col min="448" max="449" width="7.6640625" bestFit="1" customWidth="1"/>
    <col min="450" max="450" width="8.6640625" bestFit="1" customWidth="1"/>
    <col min="451" max="452" width="7.6640625" bestFit="1" customWidth="1"/>
    <col min="453" max="454" width="8.6640625" bestFit="1" customWidth="1"/>
    <col min="455" max="455" width="7.6640625" bestFit="1" customWidth="1"/>
    <col min="456" max="461" width="8.6640625" bestFit="1" customWidth="1"/>
    <col min="462" max="463" width="7.6640625" bestFit="1" customWidth="1"/>
    <col min="464" max="466" width="8.6640625" bestFit="1" customWidth="1"/>
    <col min="467" max="468" width="7.6640625" bestFit="1" customWidth="1"/>
    <col min="469" max="472" width="8.6640625" bestFit="1" customWidth="1"/>
    <col min="473" max="473" width="7.6640625" bestFit="1" customWidth="1"/>
    <col min="474" max="483" width="8.6640625" bestFit="1" customWidth="1"/>
    <col min="484" max="484" width="7.6640625" bestFit="1" customWidth="1"/>
    <col min="485" max="489" width="8.6640625" bestFit="1" customWidth="1"/>
    <col min="490" max="490" width="7.6640625" bestFit="1" customWidth="1"/>
    <col min="491" max="494" width="8.6640625" bestFit="1" customWidth="1"/>
    <col min="495" max="495" width="7.6640625" bestFit="1" customWidth="1"/>
    <col min="496" max="504" width="8.6640625" bestFit="1" customWidth="1"/>
    <col min="505" max="505" width="9.6640625" bestFit="1" customWidth="1"/>
    <col min="506" max="508" width="8.6640625" bestFit="1" customWidth="1"/>
    <col min="509" max="513" width="9.6640625" bestFit="1" customWidth="1"/>
    <col min="514" max="514" width="12.83203125" bestFit="1" customWidth="1"/>
    <col min="515" max="517" width="6.6640625" bestFit="1" customWidth="1"/>
    <col min="518" max="519" width="7.6640625" bestFit="1" customWidth="1"/>
    <col min="520" max="533" width="6.6640625" bestFit="1" customWidth="1"/>
    <col min="534" max="535" width="7.6640625" bestFit="1" customWidth="1"/>
    <col min="536" max="537" width="6.6640625" bestFit="1" customWidth="1"/>
    <col min="538" max="538" width="7.6640625" bestFit="1" customWidth="1"/>
    <col min="539" max="542" width="6.6640625" bestFit="1" customWidth="1"/>
    <col min="543" max="547" width="7.6640625" bestFit="1" customWidth="1"/>
    <col min="548" max="548" width="6.6640625" bestFit="1" customWidth="1"/>
    <col min="549" max="549" width="7.6640625" bestFit="1" customWidth="1"/>
    <col min="550" max="554" width="6.6640625" bestFit="1" customWidth="1"/>
    <col min="555" max="555" width="7.6640625" bestFit="1" customWidth="1"/>
    <col min="556" max="556" width="6.6640625" bestFit="1" customWidth="1"/>
    <col min="557" max="557" width="7.6640625" bestFit="1" customWidth="1"/>
    <col min="558" max="558" width="6.6640625" bestFit="1" customWidth="1"/>
    <col min="559" max="559" width="7.6640625" bestFit="1" customWidth="1"/>
    <col min="560" max="562" width="6.6640625" bestFit="1" customWidth="1"/>
    <col min="563" max="565" width="7.6640625" bestFit="1" customWidth="1"/>
    <col min="566" max="568" width="6.6640625" bestFit="1" customWidth="1"/>
    <col min="569" max="577" width="7.6640625" bestFit="1" customWidth="1"/>
    <col min="578" max="578" width="6.6640625" bestFit="1" customWidth="1"/>
    <col min="579" max="580" width="7.6640625" bestFit="1" customWidth="1"/>
    <col min="581" max="582" width="6.6640625" bestFit="1" customWidth="1"/>
    <col min="583" max="584" width="7.6640625" bestFit="1" customWidth="1"/>
    <col min="585" max="585" width="6.6640625" bestFit="1" customWidth="1"/>
    <col min="586" max="607" width="7.6640625" bestFit="1" customWidth="1"/>
    <col min="608" max="608" width="7.1640625" bestFit="1" customWidth="1"/>
    <col min="609" max="612" width="7.6640625" bestFit="1" customWidth="1"/>
    <col min="613" max="613" width="7.1640625" bestFit="1" customWidth="1"/>
    <col min="614" max="622" width="7.6640625" bestFit="1" customWidth="1"/>
    <col min="623" max="623" width="7.1640625" bestFit="1" customWidth="1"/>
    <col min="624" max="638" width="7.6640625" bestFit="1" customWidth="1"/>
    <col min="639" max="639" width="7.1640625" bestFit="1" customWidth="1"/>
    <col min="640" max="643" width="7.6640625" bestFit="1" customWidth="1"/>
    <col min="644" max="644" width="7.1640625" bestFit="1" customWidth="1"/>
    <col min="645" max="673" width="7.6640625" bestFit="1" customWidth="1"/>
    <col min="674" max="674" width="7.1640625" bestFit="1" customWidth="1"/>
    <col min="675" max="679" width="7.6640625" bestFit="1" customWidth="1"/>
    <col min="680" max="680" width="7.1640625" bestFit="1" customWidth="1"/>
    <col min="681" max="716" width="7.6640625" bestFit="1" customWidth="1"/>
    <col min="717" max="717" width="8.6640625" bestFit="1" customWidth="1"/>
    <col min="718" max="720" width="7.6640625" bestFit="1" customWidth="1"/>
    <col min="721" max="721" width="8.6640625" bestFit="1" customWidth="1"/>
    <col min="722" max="725" width="7.6640625" bestFit="1" customWidth="1"/>
    <col min="726" max="727" width="8.6640625" bestFit="1" customWidth="1"/>
    <col min="728" max="729" width="7.6640625" bestFit="1" customWidth="1"/>
    <col min="730" max="730" width="8.6640625" bestFit="1" customWidth="1"/>
    <col min="731" max="732" width="7.6640625" bestFit="1" customWidth="1"/>
    <col min="733" max="737" width="8.6640625" bestFit="1" customWidth="1"/>
    <col min="738" max="738" width="7.6640625" bestFit="1" customWidth="1"/>
    <col min="739" max="739" width="8.6640625" bestFit="1" customWidth="1"/>
    <col min="740" max="741" width="7.6640625" bestFit="1" customWidth="1"/>
    <col min="742" max="743" width="8.6640625" bestFit="1" customWidth="1"/>
    <col min="744" max="746" width="7.6640625" bestFit="1" customWidth="1"/>
    <col min="747" max="750" width="8.6640625" bestFit="1" customWidth="1"/>
    <col min="751" max="751" width="7.6640625" bestFit="1" customWidth="1"/>
    <col min="752" max="767" width="8.6640625" bestFit="1" customWidth="1"/>
    <col min="768" max="769" width="9.6640625" bestFit="1" customWidth="1"/>
    <col min="770" max="770" width="26.6640625" bestFit="1" customWidth="1"/>
    <col min="771" max="798" width="6.1640625" bestFit="1" customWidth="1"/>
    <col min="799" max="799" width="6.5" bestFit="1" customWidth="1"/>
    <col min="800" max="816" width="6.1640625" bestFit="1" customWidth="1"/>
    <col min="817" max="817" width="6.5" bestFit="1" customWidth="1"/>
    <col min="818" max="844" width="6.1640625" bestFit="1" customWidth="1"/>
    <col min="845" max="845" width="6.5" bestFit="1" customWidth="1"/>
    <col min="846" max="848" width="6.1640625" bestFit="1" customWidth="1"/>
    <col min="849" max="1003" width="7.1640625" bestFit="1" customWidth="1"/>
    <col min="1004" max="1006" width="7.5" bestFit="1" customWidth="1"/>
    <col min="1007" max="1007" width="7.1640625" bestFit="1" customWidth="1"/>
    <col min="1008" max="1023" width="8.1640625" bestFit="1" customWidth="1"/>
    <col min="1024" max="1025" width="8.83203125" bestFit="1" customWidth="1"/>
    <col min="1026" max="1026" width="13.6640625" bestFit="1" customWidth="1"/>
    <col min="1027" max="1027" width="6.5" bestFit="1" customWidth="1"/>
    <col min="1028" max="1102" width="6.1640625" bestFit="1" customWidth="1"/>
    <col min="1103" max="1103" width="6.5" bestFit="1" customWidth="1"/>
    <col min="1104" max="1104" width="6.1640625" bestFit="1" customWidth="1"/>
    <col min="1105" max="1263" width="7.1640625" bestFit="1" customWidth="1"/>
    <col min="1264" max="1281" width="8.1640625" bestFit="1" customWidth="1"/>
    <col min="1282" max="1282" width="36.5" bestFit="1" customWidth="1"/>
    <col min="1283" max="1283" width="37" bestFit="1" customWidth="1"/>
    <col min="1284" max="1284" width="17.33203125" bestFit="1" customWidth="1"/>
    <col min="1285" max="1285" width="31" bestFit="1" customWidth="1"/>
    <col min="1286" max="1286" width="18.1640625" bestFit="1" customWidth="1"/>
  </cols>
  <sheetData>
    <row r="3" spans="1:2">
      <c r="A3" s="52" t="s">
        <v>303</v>
      </c>
      <c r="B3" t="s">
        <v>304</v>
      </c>
    </row>
    <row r="4" spans="1:2">
      <c r="A4" s="53" t="s">
        <v>261</v>
      </c>
      <c r="B4" s="54">
        <v>0.92089113380427756</v>
      </c>
    </row>
    <row r="5" spans="1:2">
      <c r="A5" s="53" t="s">
        <v>262</v>
      </c>
      <c r="B5" s="54">
        <v>8.1902809804423951E-2</v>
      </c>
    </row>
    <row r="6" spans="1:2">
      <c r="A6" s="53" t="s">
        <v>260</v>
      </c>
      <c r="B6" s="54">
        <v>-2.7939436087014873E-3</v>
      </c>
    </row>
    <row r="7" spans="1:2">
      <c r="A7" s="53" t="s">
        <v>302</v>
      </c>
      <c r="B7" s="54">
        <v>1</v>
      </c>
    </row>
    <row r="17" spans="1:13">
      <c r="A17" s="52" t="s">
        <v>306</v>
      </c>
      <c r="B17" s="52" t="s">
        <v>301</v>
      </c>
    </row>
    <row r="18" spans="1:13">
      <c r="A18" s="52" t="s">
        <v>303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 t="s">
        <v>305</v>
      </c>
      <c r="M18" t="s">
        <v>302</v>
      </c>
    </row>
    <row r="19" spans="1:13">
      <c r="A19" s="53" t="s">
        <v>261</v>
      </c>
      <c r="B19" s="68">
        <v>1</v>
      </c>
      <c r="C19" s="68">
        <v>9</v>
      </c>
      <c r="D19" s="68">
        <v>8</v>
      </c>
      <c r="E19" s="68">
        <v>8</v>
      </c>
      <c r="F19" s="68">
        <v>25</v>
      </c>
      <c r="G19" s="68">
        <v>21</v>
      </c>
      <c r="H19" s="68">
        <v>42</v>
      </c>
      <c r="I19" s="68">
        <v>29</v>
      </c>
      <c r="J19" s="68">
        <v>16</v>
      </c>
      <c r="K19" s="68">
        <v>2</v>
      </c>
      <c r="L19" s="68">
        <v>2</v>
      </c>
      <c r="M19" s="68">
        <v>163</v>
      </c>
    </row>
    <row r="20" spans="1:13">
      <c r="A20" s="53" t="s">
        <v>262</v>
      </c>
      <c r="B20" s="68"/>
      <c r="C20" s="68">
        <v>1</v>
      </c>
      <c r="D20" s="68">
        <v>1</v>
      </c>
      <c r="E20" s="68">
        <v>2</v>
      </c>
      <c r="F20" s="68">
        <v>2</v>
      </c>
      <c r="G20" s="68"/>
      <c r="H20" s="68">
        <v>1</v>
      </c>
      <c r="I20" s="68">
        <v>1</v>
      </c>
      <c r="J20" s="68"/>
      <c r="K20" s="68"/>
      <c r="L20" s="68"/>
      <c r="M20" s="68">
        <v>8</v>
      </c>
    </row>
    <row r="21" spans="1:13">
      <c r="A21" s="53" t="s">
        <v>260</v>
      </c>
      <c r="B21" s="68">
        <v>7</v>
      </c>
      <c r="C21" s="68">
        <v>8</v>
      </c>
      <c r="D21" s="68">
        <v>41</v>
      </c>
      <c r="E21" s="68">
        <v>13</v>
      </c>
      <c r="F21" s="68">
        <v>12</v>
      </c>
      <c r="G21" s="68">
        <v>1</v>
      </c>
      <c r="H21" s="68">
        <v>3</v>
      </c>
      <c r="I21" s="68"/>
      <c r="J21" s="68"/>
      <c r="K21" s="68"/>
      <c r="L21" s="68"/>
      <c r="M21" s="68">
        <v>85</v>
      </c>
    </row>
    <row r="22" spans="1:13">
      <c r="A22" s="53" t="s">
        <v>302</v>
      </c>
      <c r="B22" s="68">
        <v>8</v>
      </c>
      <c r="C22" s="68">
        <v>18</v>
      </c>
      <c r="D22" s="68">
        <v>50</v>
      </c>
      <c r="E22" s="68">
        <v>23</v>
      </c>
      <c r="F22" s="68">
        <v>39</v>
      </c>
      <c r="G22" s="68">
        <v>22</v>
      </c>
      <c r="H22" s="68">
        <v>46</v>
      </c>
      <c r="I22" s="68">
        <v>30</v>
      </c>
      <c r="J22" s="68">
        <v>16</v>
      </c>
      <c r="K22" s="68">
        <v>2</v>
      </c>
      <c r="L22" s="68">
        <v>2</v>
      </c>
      <c r="M22" s="68">
        <v>256</v>
      </c>
    </row>
    <row r="35" spans="1:5">
      <c r="A35" s="52" t="s">
        <v>311</v>
      </c>
      <c r="B35" s="52" t="s">
        <v>301</v>
      </c>
    </row>
    <row r="36" spans="1:5">
      <c r="A36" s="52" t="s">
        <v>303</v>
      </c>
      <c r="B36" t="s">
        <v>261</v>
      </c>
      <c r="C36" t="s">
        <v>262</v>
      </c>
      <c r="D36" t="s">
        <v>260</v>
      </c>
      <c r="E36" t="s">
        <v>302</v>
      </c>
    </row>
    <row r="37" spans="1:5">
      <c r="A37" s="53">
        <v>3</v>
      </c>
      <c r="B37" s="55">
        <v>198355.26865712734</v>
      </c>
      <c r="C37" s="55">
        <v>85351.369738558118</v>
      </c>
      <c r="D37" s="55">
        <v>672728.08913729805</v>
      </c>
      <c r="E37" s="55">
        <v>956434.72753298352</v>
      </c>
    </row>
    <row r="38" spans="1:5">
      <c r="A38" s="53" t="s">
        <v>302</v>
      </c>
      <c r="B38" s="55">
        <v>198355.26865712734</v>
      </c>
      <c r="C38" s="55">
        <v>85351.369738558118</v>
      </c>
      <c r="D38" s="55">
        <v>672728.08913729805</v>
      </c>
      <c r="E38" s="55">
        <v>956434.72753298352</v>
      </c>
    </row>
    <row r="41" spans="1:5">
      <c r="A41" s="52" t="s">
        <v>312</v>
      </c>
      <c r="B41" s="52" t="s">
        <v>301</v>
      </c>
    </row>
    <row r="42" spans="1:5">
      <c r="A42" s="52" t="s">
        <v>303</v>
      </c>
      <c r="B42" t="s">
        <v>261</v>
      </c>
      <c r="C42" t="s">
        <v>262</v>
      </c>
      <c r="D42" t="s">
        <v>260</v>
      </c>
      <c r="E42" t="s">
        <v>302</v>
      </c>
    </row>
    <row r="43" spans="1:5">
      <c r="A43" s="53">
        <v>3</v>
      </c>
      <c r="B43" s="65">
        <v>84154.668941206706</v>
      </c>
      <c r="C43" s="65">
        <v>7377.5241539625413</v>
      </c>
      <c r="D43" s="65">
        <v>297908.00376278005</v>
      </c>
      <c r="E43" s="65">
        <v>389440.19685794931</v>
      </c>
    </row>
    <row r="44" spans="1:5">
      <c r="A44" s="53" t="s">
        <v>302</v>
      </c>
      <c r="B44" s="65">
        <v>84154.668941206706</v>
      </c>
      <c r="C44" s="65">
        <v>7377.5241539625413</v>
      </c>
      <c r="D44" s="65">
        <v>297908.00376278005</v>
      </c>
      <c r="E44" s="65">
        <v>389440.19685794931</v>
      </c>
    </row>
    <row r="46" spans="1:5">
      <c r="B46" s="55"/>
    </row>
    <row r="49" spans="1:6">
      <c r="A49" s="52" t="s">
        <v>303</v>
      </c>
      <c r="B49" t="s">
        <v>314</v>
      </c>
      <c r="C49" t="s">
        <v>343</v>
      </c>
      <c r="D49" t="s">
        <v>344</v>
      </c>
      <c r="E49" t="s">
        <v>345</v>
      </c>
      <c r="F49" t="s">
        <v>346</v>
      </c>
    </row>
    <row r="50" spans="1:6">
      <c r="A50" s="53" t="s">
        <v>261</v>
      </c>
      <c r="B50" s="65">
        <v>21112240.757059999</v>
      </c>
      <c r="C50" s="69">
        <v>24125127.46322</v>
      </c>
      <c r="D50" s="69">
        <v>11974423.188190009</v>
      </c>
      <c r="E50" s="65">
        <v>6347873.1502899993</v>
      </c>
      <c r="F50" s="65">
        <v>2297225.18298</v>
      </c>
    </row>
    <row r="51" spans="1:6">
      <c r="A51" s="53" t="s">
        <v>262</v>
      </c>
      <c r="B51" s="65">
        <v>8470098</v>
      </c>
      <c r="C51" s="69">
        <v>10433757.3693</v>
      </c>
      <c r="D51" s="69">
        <v>3955918.7584999995</v>
      </c>
      <c r="E51" s="65">
        <v>4690225.4909999995</v>
      </c>
      <c r="F51" s="65">
        <v>533920.92440000002</v>
      </c>
    </row>
    <row r="52" spans="1:6">
      <c r="A52" s="53" t="s">
        <v>260</v>
      </c>
      <c r="B52" s="65">
        <v>1403992.328</v>
      </c>
      <c r="C52" s="69">
        <v>2255496.6960100005</v>
      </c>
      <c r="D52" s="69">
        <v>1707938.5241999996</v>
      </c>
      <c r="E52" s="65">
        <v>309889.84749999997</v>
      </c>
      <c r="F52" s="65">
        <v>76710.963700000008</v>
      </c>
    </row>
    <row r="53" spans="1:6">
      <c r="A53" s="53" t="s">
        <v>302</v>
      </c>
      <c r="B53" s="65">
        <v>30986331.08506</v>
      </c>
      <c r="C53" s="69">
        <v>36814381.528530002</v>
      </c>
      <c r="D53" s="69">
        <v>17638280.470890008</v>
      </c>
      <c r="E53" s="65">
        <v>11347988.488789998</v>
      </c>
      <c r="F53" s="65">
        <v>2907857.0710800001</v>
      </c>
    </row>
    <row r="60" spans="1:6">
      <c r="B60" s="87"/>
    </row>
    <row r="61" spans="1:6">
      <c r="A61" t="s">
        <v>335</v>
      </c>
      <c r="B61" s="87" t="s">
        <v>337</v>
      </c>
      <c r="C61" t="s">
        <v>336</v>
      </c>
    </row>
    <row r="62" spans="1:6">
      <c r="A62" t="s">
        <v>338</v>
      </c>
      <c r="B62" s="87"/>
    </row>
    <row r="63" spans="1:6">
      <c r="B63" s="87"/>
    </row>
    <row r="68" spans="1:13">
      <c r="A68" t="s">
        <v>366</v>
      </c>
      <c r="B68" t="s">
        <v>313</v>
      </c>
      <c r="C68" t="s">
        <v>367</v>
      </c>
    </row>
    <row r="69" spans="1:13">
      <c r="A69" s="96">
        <v>207697</v>
      </c>
      <c r="B69" s="69">
        <v>34355573.0682</v>
      </c>
      <c r="C69" s="65">
        <v>14078250.451060001</v>
      </c>
    </row>
    <row r="72" spans="1:13" ht="143">
      <c r="A72" s="57" t="s">
        <v>368</v>
      </c>
      <c r="B72" s="97" t="s">
        <v>366</v>
      </c>
      <c r="C72" s="97" t="s">
        <v>369</v>
      </c>
      <c r="D72" s="97" t="s">
        <v>370</v>
      </c>
    </row>
    <row r="73" spans="1:13">
      <c r="A73" s="93">
        <v>16245030.129930001</v>
      </c>
      <c r="B73" s="96">
        <v>207697</v>
      </c>
      <c r="C73" s="69">
        <v>34355573.0682</v>
      </c>
      <c r="D73" s="65">
        <v>14078250.451060001</v>
      </c>
    </row>
    <row r="77" spans="1:13" ht="40" customHeight="1">
      <c r="A77" s="70" t="s">
        <v>333</v>
      </c>
      <c r="B77" s="70" t="s">
        <v>321</v>
      </c>
      <c r="C77" s="72" t="s">
        <v>355</v>
      </c>
      <c r="D77" s="72" t="s">
        <v>356</v>
      </c>
      <c r="E77" s="95" t="s">
        <v>357</v>
      </c>
      <c r="F77" s="95" t="s">
        <v>358</v>
      </c>
      <c r="G77" s="95" t="s">
        <v>359</v>
      </c>
      <c r="H77" s="95" t="s">
        <v>360</v>
      </c>
      <c r="I77" s="95" t="s">
        <v>361</v>
      </c>
      <c r="J77" s="95" t="s">
        <v>362</v>
      </c>
      <c r="K77" s="95" t="s">
        <v>363</v>
      </c>
      <c r="L77" s="95" t="s">
        <v>364</v>
      </c>
      <c r="M77" s="95" t="s">
        <v>365</v>
      </c>
    </row>
    <row r="78" spans="1:13">
      <c r="A78" s="71" t="s">
        <v>317</v>
      </c>
      <c r="B78" s="93">
        <v>207697</v>
      </c>
      <c r="C78" s="93">
        <v>49035228.4705</v>
      </c>
      <c r="D78" s="93">
        <v>30986331.08506</v>
      </c>
      <c r="E78" s="93">
        <v>14078250.451060001</v>
      </c>
      <c r="F78" s="93">
        <v>18447560.391404968</v>
      </c>
      <c r="G78" s="94">
        <v>0.7631497147785079</v>
      </c>
      <c r="H78" s="93">
        <v>13054790.439999999</v>
      </c>
      <c r="I78" s="93">
        <v>18700264.739336424</v>
      </c>
      <c r="J78" s="94">
        <v>0.69810725259621365</v>
      </c>
      <c r="K78" s="93">
        <v>4268442.34</v>
      </c>
      <c r="L78" s="93">
        <v>1023460.0110599999</v>
      </c>
      <c r="M78" s="93">
        <v>16908080.634</v>
      </c>
    </row>
  </sheetData>
  <pageMargins left="0.7" right="0.7" top="0.75" bottom="0.75" header="0.3" footer="0.3"/>
  <drawing r:id="rId8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8AD6-B746-DB4E-9482-BD624D29F5C3}">
  <dimension ref="A3:E15"/>
  <sheetViews>
    <sheetView workbookViewId="0">
      <selection activeCell="A39" sqref="A39"/>
    </sheetView>
  </sheetViews>
  <sheetFormatPr baseColWidth="10" defaultRowHeight="16"/>
  <cols>
    <col min="1" max="1" width="57.6640625" bestFit="1" customWidth="1"/>
    <col min="2" max="2" width="16" bestFit="1" customWidth="1"/>
    <col min="3" max="3" width="12.6640625" bestFit="1" customWidth="1"/>
    <col min="4" max="4" width="11.5" bestFit="1" customWidth="1"/>
    <col min="5" max="5" width="10.5" bestFit="1" customWidth="1"/>
    <col min="6" max="6" width="4.33203125" bestFit="1" customWidth="1"/>
    <col min="7" max="7" width="6.5" bestFit="1" customWidth="1"/>
    <col min="8" max="8" width="4.6640625" bestFit="1" customWidth="1"/>
    <col min="9" max="9" width="5.5" bestFit="1" customWidth="1"/>
    <col min="10" max="10" width="4.33203125" bestFit="1" customWidth="1"/>
    <col min="11" max="11" width="6.5" bestFit="1" customWidth="1"/>
    <col min="12" max="12" width="4.6640625" bestFit="1" customWidth="1"/>
    <col min="13" max="13" width="5.5" bestFit="1" customWidth="1"/>
    <col min="14" max="14" width="4.33203125" bestFit="1" customWidth="1"/>
    <col min="15" max="15" width="6.5" bestFit="1" customWidth="1"/>
    <col min="16" max="16" width="4.6640625" bestFit="1" customWidth="1"/>
    <col min="17" max="17" width="5.5" bestFit="1" customWidth="1"/>
    <col min="18" max="18" width="4.33203125" bestFit="1" customWidth="1"/>
    <col min="19" max="19" width="6.5" bestFit="1" customWidth="1"/>
    <col min="20" max="20" width="4.6640625" bestFit="1" customWidth="1"/>
    <col min="21" max="21" width="5.5" bestFit="1" customWidth="1"/>
    <col min="22" max="22" width="4.33203125" bestFit="1" customWidth="1"/>
    <col min="23" max="23" width="6.5" bestFit="1" customWidth="1"/>
    <col min="24" max="24" width="4.6640625" bestFit="1" customWidth="1"/>
    <col min="25" max="25" width="4.33203125" bestFit="1" customWidth="1"/>
    <col min="26" max="26" width="6.5" bestFit="1" customWidth="1"/>
    <col min="27" max="27" width="4.6640625" bestFit="1" customWidth="1"/>
    <col min="28" max="28" width="5.5" bestFit="1" customWidth="1"/>
    <col min="29" max="29" width="6.5" bestFit="1" customWidth="1"/>
    <col min="30" max="30" width="4.6640625" bestFit="1" customWidth="1"/>
    <col min="31" max="31" width="5.5" bestFit="1" customWidth="1"/>
    <col min="32" max="32" width="6.5" bestFit="1" customWidth="1"/>
    <col min="33" max="33" width="4.83203125" bestFit="1" customWidth="1"/>
    <col min="34" max="34" width="5.5" bestFit="1" customWidth="1"/>
    <col min="35" max="35" width="7.5" bestFit="1" customWidth="1"/>
    <col min="36" max="36" width="8.6640625" bestFit="1" customWidth="1"/>
    <col min="37" max="37" width="4.33203125" bestFit="1" customWidth="1"/>
    <col min="38" max="38" width="11.33203125" bestFit="1" customWidth="1"/>
    <col min="39" max="39" width="10.5" bestFit="1" customWidth="1"/>
  </cols>
  <sheetData>
    <row r="3" spans="1:5">
      <c r="A3" s="52" t="s">
        <v>372</v>
      </c>
      <c r="B3" s="52" t="s">
        <v>301</v>
      </c>
    </row>
    <row r="4" spans="1:5">
      <c r="A4" s="52" t="s">
        <v>303</v>
      </c>
      <c r="B4" t="s">
        <v>352</v>
      </c>
      <c r="C4" t="s">
        <v>353</v>
      </c>
      <c r="D4" t="s">
        <v>354</v>
      </c>
      <c r="E4" t="s">
        <v>302</v>
      </c>
    </row>
    <row r="5" spans="1:5">
      <c r="A5" s="53">
        <v>1</v>
      </c>
      <c r="B5" s="68">
        <v>14</v>
      </c>
      <c r="C5" s="68"/>
      <c r="D5" s="68">
        <v>4</v>
      </c>
      <c r="E5" s="68">
        <v>18</v>
      </c>
    </row>
    <row r="6" spans="1:5">
      <c r="A6" s="53">
        <v>2</v>
      </c>
      <c r="B6" s="68">
        <v>12</v>
      </c>
      <c r="C6" s="68"/>
      <c r="D6" s="68">
        <v>8</v>
      </c>
      <c r="E6" s="68">
        <v>20</v>
      </c>
    </row>
    <row r="7" spans="1:5">
      <c r="A7" s="53">
        <v>3</v>
      </c>
      <c r="B7" s="68">
        <v>22</v>
      </c>
      <c r="C7" s="68">
        <v>1</v>
      </c>
      <c r="D7" s="68">
        <v>24</v>
      </c>
      <c r="E7" s="68">
        <v>47</v>
      </c>
    </row>
    <row r="8" spans="1:5">
      <c r="A8" s="53">
        <v>4</v>
      </c>
      <c r="B8" s="68">
        <v>13</v>
      </c>
      <c r="C8" s="68">
        <v>1</v>
      </c>
      <c r="D8" s="68">
        <v>25</v>
      </c>
      <c r="E8" s="68">
        <v>39</v>
      </c>
    </row>
    <row r="9" spans="1:5">
      <c r="A9" s="53">
        <v>5</v>
      </c>
      <c r="B9" s="68">
        <v>28</v>
      </c>
      <c r="C9" s="68">
        <v>1</v>
      </c>
      <c r="D9" s="68">
        <v>12</v>
      </c>
      <c r="E9" s="68">
        <v>41</v>
      </c>
    </row>
    <row r="10" spans="1:5">
      <c r="A10" s="53">
        <v>6</v>
      </c>
      <c r="B10" s="68">
        <v>35</v>
      </c>
      <c r="C10" s="68">
        <v>1</v>
      </c>
      <c r="D10" s="68">
        <v>9</v>
      </c>
      <c r="E10" s="68">
        <v>45</v>
      </c>
    </row>
    <row r="11" spans="1:5">
      <c r="A11" s="53">
        <v>7</v>
      </c>
      <c r="B11" s="68">
        <v>12</v>
      </c>
      <c r="C11" s="68"/>
      <c r="D11" s="68">
        <v>3</v>
      </c>
      <c r="E11" s="68">
        <v>15</v>
      </c>
    </row>
    <row r="12" spans="1:5">
      <c r="A12" s="53">
        <v>8</v>
      </c>
      <c r="B12" s="68">
        <v>14</v>
      </c>
      <c r="C12" s="68">
        <v>2</v>
      </c>
      <c r="D12" s="68"/>
      <c r="E12" s="68">
        <v>16</v>
      </c>
    </row>
    <row r="13" spans="1:5">
      <c r="A13" s="53">
        <v>9</v>
      </c>
      <c r="B13" s="68">
        <v>8</v>
      </c>
      <c r="C13" s="68">
        <v>1</v>
      </c>
      <c r="D13" s="68"/>
      <c r="E13" s="68">
        <v>9</v>
      </c>
    </row>
    <row r="14" spans="1:5">
      <c r="A14" s="53">
        <v>10</v>
      </c>
      <c r="B14" s="68">
        <v>4</v>
      </c>
      <c r="C14" s="68">
        <v>1</v>
      </c>
      <c r="D14" s="68"/>
      <c r="E14" s="68">
        <v>5</v>
      </c>
    </row>
    <row r="15" spans="1:5">
      <c r="A15" s="53" t="s">
        <v>302</v>
      </c>
      <c r="B15" s="68">
        <v>162</v>
      </c>
      <c r="C15" s="68">
        <v>8</v>
      </c>
      <c r="D15" s="68">
        <v>85</v>
      </c>
      <c r="E15" s="68">
        <v>255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79B4-6E04-C54E-895C-3E3AD8C3C505}">
  <dimension ref="A3:E16"/>
  <sheetViews>
    <sheetView tabSelected="1" workbookViewId="0">
      <selection activeCell="I23" sqref="I23"/>
    </sheetView>
  </sheetViews>
  <sheetFormatPr baseColWidth="10" defaultRowHeight="16"/>
  <cols>
    <col min="1" max="1" width="15.5" bestFit="1" customWidth="1"/>
    <col min="2" max="2" width="16" bestFit="1" customWidth="1"/>
    <col min="3" max="3" width="5.5" bestFit="1" customWidth="1"/>
    <col min="4" max="4" width="4.33203125" bestFit="1" customWidth="1"/>
    <col min="5" max="5" width="10.5" bestFit="1" customWidth="1"/>
    <col min="6" max="6" width="5.5" bestFit="1" customWidth="1"/>
    <col min="7" max="7" width="4.33203125" bestFit="1" customWidth="1"/>
    <col min="8" max="8" width="20" bestFit="1" customWidth="1"/>
    <col min="9" max="9" width="41" bestFit="1" customWidth="1"/>
    <col min="10" max="10" width="20" bestFit="1" customWidth="1"/>
    <col min="11" max="11" width="41.33203125" bestFit="1" customWidth="1"/>
    <col min="12" max="12" width="41" bestFit="1" customWidth="1"/>
  </cols>
  <sheetData>
    <row r="3" spans="1:5">
      <c r="A3" s="52" t="s">
        <v>371</v>
      </c>
      <c r="B3" s="52" t="s">
        <v>301</v>
      </c>
    </row>
    <row r="4" spans="1:5">
      <c r="A4" s="52" t="s">
        <v>303</v>
      </c>
      <c r="B4" t="s">
        <v>261</v>
      </c>
      <c r="C4" t="s">
        <v>262</v>
      </c>
      <c r="D4" t="s">
        <v>260</v>
      </c>
      <c r="E4" t="s">
        <v>302</v>
      </c>
    </row>
    <row r="5" spans="1:5">
      <c r="A5" s="53">
        <v>1</v>
      </c>
      <c r="B5" s="68">
        <v>1</v>
      </c>
      <c r="C5" s="68"/>
      <c r="D5" s="68">
        <v>7</v>
      </c>
      <c r="E5" s="68">
        <v>8</v>
      </c>
    </row>
    <row r="6" spans="1:5">
      <c r="A6" s="53">
        <v>2</v>
      </c>
      <c r="B6" s="68">
        <v>9</v>
      </c>
      <c r="C6" s="68">
        <v>1</v>
      </c>
      <c r="D6" s="68">
        <v>8</v>
      </c>
      <c r="E6" s="68">
        <v>18</v>
      </c>
    </row>
    <row r="7" spans="1:5">
      <c r="A7" s="53">
        <v>3</v>
      </c>
      <c r="B7" s="68">
        <v>8</v>
      </c>
      <c r="C7" s="68">
        <v>1</v>
      </c>
      <c r="D7" s="68">
        <v>41</v>
      </c>
      <c r="E7" s="68">
        <v>50</v>
      </c>
    </row>
    <row r="8" spans="1:5">
      <c r="A8" s="53">
        <v>4</v>
      </c>
      <c r="B8" s="68">
        <v>8</v>
      </c>
      <c r="C8" s="68">
        <v>2</v>
      </c>
      <c r="D8" s="68">
        <v>13</v>
      </c>
      <c r="E8" s="68">
        <v>23</v>
      </c>
    </row>
    <row r="9" spans="1:5">
      <c r="A9" s="53">
        <v>5</v>
      </c>
      <c r="B9" s="68">
        <v>25</v>
      </c>
      <c r="C9" s="68">
        <v>2</v>
      </c>
      <c r="D9" s="68">
        <v>12</v>
      </c>
      <c r="E9" s="68">
        <v>39</v>
      </c>
    </row>
    <row r="10" spans="1:5">
      <c r="A10" s="53">
        <v>6</v>
      </c>
      <c r="B10" s="68">
        <v>21</v>
      </c>
      <c r="C10" s="68"/>
      <c r="D10" s="68">
        <v>1</v>
      </c>
      <c r="E10" s="68">
        <v>22</v>
      </c>
    </row>
    <row r="11" spans="1:5">
      <c r="A11" s="53">
        <v>7</v>
      </c>
      <c r="B11" s="68">
        <v>42</v>
      </c>
      <c r="C11" s="68">
        <v>1</v>
      </c>
      <c r="D11" s="68">
        <v>3</v>
      </c>
      <c r="E11" s="68">
        <v>46</v>
      </c>
    </row>
    <row r="12" spans="1:5">
      <c r="A12" s="53">
        <v>8</v>
      </c>
      <c r="B12" s="68">
        <v>29</v>
      </c>
      <c r="C12" s="68">
        <v>1</v>
      </c>
      <c r="D12" s="68"/>
      <c r="E12" s="68">
        <v>30</v>
      </c>
    </row>
    <row r="13" spans="1:5">
      <c r="A13" s="53">
        <v>9</v>
      </c>
      <c r="B13" s="68">
        <v>16</v>
      </c>
      <c r="C13" s="68"/>
      <c r="D13" s="68"/>
      <c r="E13" s="68">
        <v>16</v>
      </c>
    </row>
    <row r="14" spans="1:5">
      <c r="A14" s="53">
        <v>10</v>
      </c>
      <c r="B14" s="68">
        <v>2</v>
      </c>
      <c r="C14" s="68"/>
      <c r="D14" s="68"/>
      <c r="E14" s="68">
        <v>2</v>
      </c>
    </row>
    <row r="15" spans="1:5">
      <c r="A15" s="53" t="s">
        <v>305</v>
      </c>
      <c r="B15" s="68">
        <v>2</v>
      </c>
      <c r="C15" s="68"/>
      <c r="D15" s="68"/>
      <c r="E15" s="68">
        <v>2</v>
      </c>
    </row>
    <row r="16" spans="1:5">
      <c r="A16" s="53" t="s">
        <v>302</v>
      </c>
      <c r="B16" s="68">
        <v>163</v>
      </c>
      <c r="C16" s="68">
        <v>8</v>
      </c>
      <c r="D16" s="68">
        <v>85</v>
      </c>
      <c r="E16" s="68">
        <v>256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B3FC-C25D-2849-985C-843D98987743}">
  <dimension ref="A1:AZ258"/>
  <sheetViews>
    <sheetView rightToLeft="1" zoomScale="135" zoomScaleNormal="1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C250" sqref="AC250"/>
    </sheetView>
  </sheetViews>
  <sheetFormatPr baseColWidth="10" defaultRowHeight="16"/>
  <cols>
    <col min="1" max="1" width="16.6640625" customWidth="1"/>
    <col min="2" max="2" width="9.83203125" customWidth="1"/>
    <col min="3" max="3" width="7.6640625" customWidth="1"/>
    <col min="4" max="4" width="14" customWidth="1"/>
    <col min="5" max="5" width="10.1640625" customWidth="1"/>
    <col min="6" max="6" width="7" customWidth="1"/>
    <col min="7" max="7" width="4.5" customWidth="1"/>
    <col min="8" max="8" width="7.33203125" customWidth="1"/>
    <col min="9" max="9" width="10.83203125" customWidth="1"/>
    <col min="10" max="10" width="8.83203125" customWidth="1"/>
    <col min="11" max="13" width="10.83203125" customWidth="1"/>
    <col min="14" max="14" width="13" customWidth="1"/>
    <col min="15" max="15" width="8.6640625" customWidth="1"/>
    <col min="16" max="16" width="11" customWidth="1"/>
    <col min="17" max="17" width="10.33203125" customWidth="1"/>
    <col min="18" max="18" width="12.6640625" customWidth="1"/>
    <col min="19" max="19" width="9.83203125" customWidth="1"/>
    <col min="20" max="20" width="8.6640625" customWidth="1"/>
    <col min="21" max="24" width="10.83203125" customWidth="1"/>
    <col min="25" max="26" width="7.83203125" customWidth="1"/>
    <col min="27" max="27" width="6.33203125" customWidth="1"/>
    <col min="28" max="28" width="9.5" customWidth="1"/>
  </cols>
  <sheetData>
    <row r="1" spans="1:52" ht="88" customHeight="1">
      <c r="A1" s="14" t="s">
        <v>256</v>
      </c>
      <c r="B1" s="14" t="s">
        <v>257</v>
      </c>
      <c r="C1" s="14" t="s">
        <v>258</v>
      </c>
      <c r="D1" s="83" t="s">
        <v>332</v>
      </c>
      <c r="E1" s="82" t="s">
        <v>331</v>
      </c>
      <c r="F1" s="14" t="s">
        <v>315</v>
      </c>
      <c r="G1" s="14" t="s">
        <v>265</v>
      </c>
      <c r="H1" s="14" t="s">
        <v>266</v>
      </c>
      <c r="I1" s="14" t="s">
        <v>267</v>
      </c>
      <c r="J1" s="14" t="s">
        <v>268</v>
      </c>
      <c r="K1" s="14" t="s">
        <v>269</v>
      </c>
      <c r="L1" s="14" t="s">
        <v>270</v>
      </c>
      <c r="M1" s="14" t="s">
        <v>271</v>
      </c>
      <c r="N1" s="14" t="s">
        <v>272</v>
      </c>
      <c r="O1" s="14" t="s">
        <v>273</v>
      </c>
      <c r="P1" s="14" t="s">
        <v>274</v>
      </c>
      <c r="Q1" s="14" t="s">
        <v>275</v>
      </c>
      <c r="R1" s="14" t="s">
        <v>276</v>
      </c>
      <c r="S1" s="14" t="s">
        <v>277</v>
      </c>
      <c r="T1" s="14" t="s">
        <v>278</v>
      </c>
      <c r="U1" s="18" t="s">
        <v>279</v>
      </c>
      <c r="V1" s="20" t="s">
        <v>281</v>
      </c>
      <c r="W1" s="21" t="s">
        <v>283</v>
      </c>
      <c r="X1" s="22" t="s">
        <v>284</v>
      </c>
      <c r="Y1" s="23" t="s">
        <v>285</v>
      </c>
      <c r="Z1" s="21" t="s">
        <v>286</v>
      </c>
      <c r="AA1" s="22" t="s">
        <v>287</v>
      </c>
      <c r="AB1" s="23" t="s">
        <v>288</v>
      </c>
      <c r="AC1" s="26" t="s">
        <v>299</v>
      </c>
      <c r="AD1" s="26" t="s">
        <v>300</v>
      </c>
      <c r="AE1" s="29" t="s">
        <v>291</v>
      </c>
      <c r="AF1" s="30" t="s">
        <v>289</v>
      </c>
      <c r="AG1" s="34" t="s">
        <v>290</v>
      </c>
      <c r="AH1" s="35" t="s">
        <v>292</v>
      </c>
      <c r="AI1" s="36" t="s">
        <v>293</v>
      </c>
      <c r="AJ1" s="36" t="s">
        <v>294</v>
      </c>
      <c r="AK1" s="36" t="s">
        <v>295</v>
      </c>
      <c r="AL1" s="36" t="s">
        <v>296</v>
      </c>
      <c r="AM1" s="36" t="s">
        <v>297</v>
      </c>
      <c r="AN1" s="36" t="s">
        <v>298</v>
      </c>
      <c r="AO1" s="36" t="s">
        <v>333</v>
      </c>
      <c r="AP1" s="36" t="s">
        <v>334</v>
      </c>
      <c r="AQ1" s="56" t="s">
        <v>310</v>
      </c>
      <c r="AR1" s="57" t="s">
        <v>309</v>
      </c>
      <c r="AS1" s="92" t="s">
        <v>357</v>
      </c>
      <c r="AT1" s="64" t="s">
        <v>358</v>
      </c>
      <c r="AU1" s="14" t="s">
        <v>308</v>
      </c>
      <c r="AV1" s="66" t="s">
        <v>307</v>
      </c>
      <c r="AW1" s="88" t="s">
        <v>339</v>
      </c>
      <c r="AX1" s="89" t="s">
        <v>340</v>
      </c>
      <c r="AY1" s="89" t="s">
        <v>341</v>
      </c>
      <c r="AZ1" s="89" t="s">
        <v>342</v>
      </c>
    </row>
    <row r="2" spans="1:52">
      <c r="A2" s="1" t="s">
        <v>0</v>
      </c>
      <c r="B2" s="7" t="s">
        <v>259</v>
      </c>
      <c r="C2" s="7" t="s">
        <v>260</v>
      </c>
      <c r="D2" s="15">
        <v>12.144814090019569</v>
      </c>
      <c r="E2" s="15">
        <v>10.52</v>
      </c>
      <c r="F2" s="15">
        <v>99.9</v>
      </c>
      <c r="G2" s="12">
        <v>58664.530054457282</v>
      </c>
      <c r="H2" s="12">
        <v>29908</v>
      </c>
      <c r="I2" s="12">
        <v>28757</v>
      </c>
      <c r="J2" s="15">
        <v>9.5</v>
      </c>
      <c r="K2" s="15">
        <v>9.4</v>
      </c>
      <c r="L2" s="15">
        <v>9.9</v>
      </c>
      <c r="M2" s="15">
        <v>10.1</v>
      </c>
      <c r="N2" s="15">
        <v>19.417028892866277</v>
      </c>
      <c r="O2" s="15">
        <v>17.968124094434501</v>
      </c>
      <c r="P2" s="15">
        <v>15.634535072019091</v>
      </c>
      <c r="Q2" s="15">
        <v>3.1</v>
      </c>
      <c r="R2" s="15">
        <v>5</v>
      </c>
      <c r="S2" s="15">
        <v>34.9</v>
      </c>
      <c r="T2" s="15">
        <v>1.7</v>
      </c>
      <c r="U2" s="12">
        <v>76</v>
      </c>
      <c r="V2" s="12">
        <v>1271</v>
      </c>
      <c r="W2" s="15">
        <v>28.7</v>
      </c>
      <c r="X2" s="15">
        <v>24.3</v>
      </c>
      <c r="Y2" s="24">
        <v>117</v>
      </c>
      <c r="Z2" s="19">
        <v>26.1</v>
      </c>
      <c r="AA2" s="19">
        <v>9</v>
      </c>
      <c r="AB2" s="19">
        <v>54</v>
      </c>
      <c r="AC2" s="49">
        <v>2</v>
      </c>
      <c r="AD2" s="27">
        <v>2</v>
      </c>
      <c r="AE2" s="27">
        <v>5</v>
      </c>
      <c r="AF2" s="31">
        <v>0.5</v>
      </c>
      <c r="AG2" s="15">
        <v>38.285535182573263</v>
      </c>
      <c r="AH2" s="37">
        <v>18</v>
      </c>
      <c r="AI2" s="38">
        <v>16.7</v>
      </c>
      <c r="AJ2" s="39">
        <v>76</v>
      </c>
      <c r="AK2" s="38">
        <v>39</v>
      </c>
      <c r="AL2" s="39">
        <v>26.9</v>
      </c>
      <c r="AM2" s="39">
        <v>124</v>
      </c>
      <c r="AN2" s="42">
        <v>272745</v>
      </c>
      <c r="AO2" s="19"/>
      <c r="AP2" s="84">
        <v>0</v>
      </c>
      <c r="AQ2" s="60">
        <v>112906</v>
      </c>
      <c r="AR2" s="60">
        <v>67797</v>
      </c>
      <c r="AS2" s="60">
        <v>45096</v>
      </c>
      <c r="AT2" s="60">
        <v>82787.911099999998</v>
      </c>
      <c r="AU2" s="24">
        <v>285995</v>
      </c>
      <c r="AV2" s="60">
        <v>6843.5049190255395</v>
      </c>
      <c r="AW2" s="24">
        <v>140787.92079999999</v>
      </c>
      <c r="AX2" s="24">
        <v>104772.9111</v>
      </c>
      <c r="AY2" s="60">
        <v>30123.948199999999</v>
      </c>
      <c r="AZ2" s="60">
        <v>1342.3449000000001</v>
      </c>
    </row>
    <row r="3" spans="1:52">
      <c r="A3" s="1" t="s">
        <v>1</v>
      </c>
      <c r="B3" s="7" t="s">
        <v>259</v>
      </c>
      <c r="C3" s="7" t="s">
        <v>261</v>
      </c>
      <c r="D3" s="15">
        <v>15.973813420621932</v>
      </c>
      <c r="E3" s="15">
        <v>16.8</v>
      </c>
      <c r="F3" s="15" t="s">
        <v>280</v>
      </c>
      <c r="G3" s="12">
        <v>35506.139782210004</v>
      </c>
      <c r="H3" s="12">
        <v>17626</v>
      </c>
      <c r="I3" s="12">
        <v>17881</v>
      </c>
      <c r="J3" s="15">
        <v>13.7</v>
      </c>
      <c r="K3" s="15">
        <v>11.7</v>
      </c>
      <c r="L3" s="15">
        <v>8.6999999999999993</v>
      </c>
      <c r="M3" s="15">
        <v>6.8</v>
      </c>
      <c r="N3" s="15">
        <v>14.887624626823637</v>
      </c>
      <c r="O3" s="15">
        <v>19.774122683490113</v>
      </c>
      <c r="P3" s="15">
        <v>11.964175069002422</v>
      </c>
      <c r="Q3" s="15">
        <v>3.8</v>
      </c>
      <c r="R3" s="15">
        <v>8.6999999999999993</v>
      </c>
      <c r="S3" s="15">
        <v>38.1</v>
      </c>
      <c r="T3" s="15">
        <v>3.3</v>
      </c>
      <c r="U3" s="12">
        <v>735</v>
      </c>
      <c r="V3" s="12">
        <v>1179</v>
      </c>
      <c r="W3" s="15">
        <v>154.30000000000001</v>
      </c>
      <c r="X3" s="15">
        <v>113.7</v>
      </c>
      <c r="Y3" s="24">
        <v>650</v>
      </c>
      <c r="Z3" s="19">
        <v>69</v>
      </c>
      <c r="AA3" s="19">
        <v>55.4</v>
      </c>
      <c r="AB3" s="19">
        <v>282</v>
      </c>
      <c r="AC3" s="49">
        <v>3</v>
      </c>
      <c r="AD3" s="27">
        <v>3</v>
      </c>
      <c r="AE3" s="27">
        <v>3</v>
      </c>
      <c r="AF3" s="31">
        <v>3</v>
      </c>
      <c r="AG3" s="15">
        <v>68.598427830740931</v>
      </c>
      <c r="AH3" s="38">
        <v>82.3</v>
      </c>
      <c r="AI3" s="38">
        <v>81.900000000000006</v>
      </c>
      <c r="AJ3" s="39">
        <v>590</v>
      </c>
      <c r="AK3" s="38">
        <v>33.6</v>
      </c>
      <c r="AL3" s="39">
        <v>26.4</v>
      </c>
      <c r="AM3" s="39">
        <v>170</v>
      </c>
      <c r="AN3" s="42">
        <v>140283</v>
      </c>
      <c r="AO3" s="19"/>
      <c r="AP3" s="84">
        <v>0</v>
      </c>
      <c r="AQ3" s="60">
        <v>103835</v>
      </c>
      <c r="AR3" s="60">
        <v>54820</v>
      </c>
      <c r="AS3" s="60">
        <v>37121</v>
      </c>
      <c r="AT3" s="60">
        <v>79526</v>
      </c>
      <c r="AU3" s="24">
        <v>161639</v>
      </c>
      <c r="AV3" s="60">
        <v>7477.01669706759</v>
      </c>
      <c r="AW3" s="24">
        <v>67102</v>
      </c>
      <c r="AX3" s="24">
        <v>47696</v>
      </c>
      <c r="AY3" s="60">
        <v>7117</v>
      </c>
      <c r="AZ3" s="60">
        <v>8869</v>
      </c>
    </row>
    <row r="4" spans="1:52">
      <c r="A4" s="1" t="s">
        <v>2</v>
      </c>
      <c r="B4" s="7" t="s">
        <v>259</v>
      </c>
      <c r="C4" s="7" t="s">
        <v>261</v>
      </c>
      <c r="D4" s="15">
        <v>17.956401668723192</v>
      </c>
      <c r="E4" s="15">
        <v>16.809999999999999</v>
      </c>
      <c r="F4" s="15" t="s">
        <v>280</v>
      </c>
      <c r="G4" s="12">
        <v>38853.878165717513</v>
      </c>
      <c r="H4" s="12">
        <v>19234</v>
      </c>
      <c r="I4" s="12">
        <v>19620</v>
      </c>
      <c r="J4" s="15">
        <v>8.9</v>
      </c>
      <c r="K4" s="15">
        <v>8.4</v>
      </c>
      <c r="L4" s="15">
        <v>7.1</v>
      </c>
      <c r="M4" s="15">
        <v>6.7</v>
      </c>
      <c r="N4" s="15">
        <v>13.229011170021105</v>
      </c>
      <c r="O4" s="15">
        <v>20.891027950790136</v>
      </c>
      <c r="P4" s="15">
        <v>15.970041694548822</v>
      </c>
      <c r="Q4" s="15">
        <v>5.0999999999999996</v>
      </c>
      <c r="R4" s="15">
        <v>13.7</v>
      </c>
      <c r="S4" s="15">
        <v>28.4</v>
      </c>
      <c r="T4" s="15">
        <v>5.0999999999999996</v>
      </c>
      <c r="U4" s="12">
        <v>1567</v>
      </c>
      <c r="V4" s="12">
        <v>851</v>
      </c>
      <c r="W4" s="15">
        <v>49.8</v>
      </c>
      <c r="X4" s="15">
        <v>41.8</v>
      </c>
      <c r="Y4" s="24">
        <v>229</v>
      </c>
      <c r="Z4" s="19">
        <v>319.60000000000002</v>
      </c>
      <c r="AA4" s="19">
        <v>304.39999999999998</v>
      </c>
      <c r="AB4" s="19">
        <v>1436</v>
      </c>
      <c r="AC4" s="49">
        <v>5</v>
      </c>
      <c r="AD4" s="27">
        <v>5</v>
      </c>
      <c r="AE4" s="27">
        <v>8</v>
      </c>
      <c r="AF4" s="31">
        <v>4.2</v>
      </c>
      <c r="AG4" s="15">
        <v>72.438494934876985</v>
      </c>
      <c r="AH4" s="38">
        <v>63.5</v>
      </c>
      <c r="AI4" s="38">
        <v>58.9</v>
      </c>
      <c r="AJ4" s="39">
        <v>318</v>
      </c>
      <c r="AK4" s="38">
        <v>17.2</v>
      </c>
      <c r="AL4" s="39">
        <v>10.7</v>
      </c>
      <c r="AM4" s="39">
        <v>64</v>
      </c>
      <c r="AN4" s="42">
        <v>227952</v>
      </c>
      <c r="AO4" s="19"/>
      <c r="AP4" s="84">
        <v>0</v>
      </c>
      <c r="AQ4" s="60">
        <v>247126</v>
      </c>
      <c r="AR4" s="60">
        <v>148911</v>
      </c>
      <c r="AS4" s="60">
        <v>61531</v>
      </c>
      <c r="AT4" s="60">
        <v>67779</v>
      </c>
      <c r="AU4" s="24">
        <v>132667</v>
      </c>
      <c r="AV4" s="60">
        <v>9774.1079636956492</v>
      </c>
      <c r="AW4" s="24">
        <v>160605</v>
      </c>
      <c r="AX4" s="24">
        <v>70030</v>
      </c>
      <c r="AY4" s="60">
        <v>55093</v>
      </c>
      <c r="AZ4" s="60">
        <v>23429</v>
      </c>
    </row>
    <row r="5" spans="1:52">
      <c r="A5" s="1" t="s">
        <v>3</v>
      </c>
      <c r="B5" s="7" t="s">
        <v>259</v>
      </c>
      <c r="C5" s="7" t="s">
        <v>261</v>
      </c>
      <c r="D5" s="15">
        <v>21.477783325012481</v>
      </c>
      <c r="E5" s="15">
        <v>18.420000000000002</v>
      </c>
      <c r="F5" s="15" t="s">
        <v>280</v>
      </c>
      <c r="G5" s="12">
        <v>20874.173811195935</v>
      </c>
      <c r="H5" s="12">
        <v>10294</v>
      </c>
      <c r="I5" s="12">
        <v>10581</v>
      </c>
      <c r="J5" s="15">
        <v>8.6999999999999993</v>
      </c>
      <c r="K5" s="15">
        <v>8.5</v>
      </c>
      <c r="L5" s="15">
        <v>7.2</v>
      </c>
      <c r="M5" s="15">
        <v>6</v>
      </c>
      <c r="N5" s="15">
        <v>12.259269905145157</v>
      </c>
      <c r="O5" s="15">
        <v>20.959087860496311</v>
      </c>
      <c r="P5" s="15">
        <v>15.708536935901121</v>
      </c>
      <c r="Q5" s="15">
        <v>5.8</v>
      </c>
      <c r="R5" s="15">
        <v>14.9</v>
      </c>
      <c r="S5" s="15">
        <v>28.1</v>
      </c>
      <c r="T5" s="15">
        <v>5.8</v>
      </c>
      <c r="U5" s="12">
        <v>806</v>
      </c>
      <c r="V5" s="12">
        <v>706</v>
      </c>
      <c r="W5" s="15">
        <v>4.9000000000000004</v>
      </c>
      <c r="X5" s="15">
        <v>3.6</v>
      </c>
      <c r="Y5" s="24">
        <v>15</v>
      </c>
      <c r="Z5" s="19">
        <v>30.2</v>
      </c>
      <c r="AA5" s="19">
        <v>16.600000000000001</v>
      </c>
      <c r="AB5" s="19">
        <v>109</v>
      </c>
      <c r="AC5" s="49">
        <v>5</v>
      </c>
      <c r="AD5" s="27">
        <v>5</v>
      </c>
      <c r="AE5" s="27">
        <v>6</v>
      </c>
      <c r="AF5" s="31">
        <v>9</v>
      </c>
      <c r="AG5" s="15">
        <v>63.940932702970876</v>
      </c>
      <c r="AH5" s="38">
        <v>8.1</v>
      </c>
      <c r="AI5" s="38">
        <v>7.3</v>
      </c>
      <c r="AJ5" s="39">
        <v>29</v>
      </c>
      <c r="AK5" s="38">
        <v>46.4</v>
      </c>
      <c r="AL5" s="39">
        <v>40.9</v>
      </c>
      <c r="AM5" s="39">
        <v>270</v>
      </c>
      <c r="AN5" s="42">
        <v>127135</v>
      </c>
      <c r="AO5" s="19"/>
      <c r="AP5" s="84">
        <v>0</v>
      </c>
      <c r="AQ5" s="60">
        <v>118760</v>
      </c>
      <c r="AR5" s="60">
        <v>59144</v>
      </c>
      <c r="AS5" s="60">
        <v>27110</v>
      </c>
      <c r="AT5" s="60">
        <v>57209</v>
      </c>
      <c r="AU5" s="24">
        <v>74147</v>
      </c>
      <c r="AV5" s="60">
        <v>9551.6594718139331</v>
      </c>
      <c r="AW5" s="24">
        <v>64052</v>
      </c>
      <c r="AX5" s="24">
        <v>37223</v>
      </c>
      <c r="AY5" s="60">
        <v>12774</v>
      </c>
      <c r="AZ5" s="60">
        <v>8274</v>
      </c>
    </row>
    <row r="6" spans="1:52">
      <c r="A6" s="1" t="s">
        <v>4</v>
      </c>
      <c r="B6" s="7" t="s">
        <v>259</v>
      </c>
      <c r="C6" s="7" t="s">
        <v>261</v>
      </c>
      <c r="D6" s="15">
        <v>18.109102543593025</v>
      </c>
      <c r="E6" s="15">
        <v>12.49</v>
      </c>
      <c r="F6" s="15">
        <v>4.9000000000000004</v>
      </c>
      <c r="G6" s="12">
        <v>53150.843427848398</v>
      </c>
      <c r="H6" s="12">
        <v>27544</v>
      </c>
      <c r="I6" s="12">
        <v>25606</v>
      </c>
      <c r="J6" s="15">
        <v>6.6</v>
      </c>
      <c r="K6" s="15">
        <v>7.2</v>
      </c>
      <c r="L6" s="15">
        <v>6.9</v>
      </c>
      <c r="M6" s="15">
        <v>6.2</v>
      </c>
      <c r="N6" s="15">
        <v>15.072152922804838</v>
      </c>
      <c r="O6" s="15">
        <v>21.647758273597862</v>
      </c>
      <c r="P6" s="15">
        <v>19.309138115933848</v>
      </c>
      <c r="Q6" s="15">
        <v>5.2</v>
      </c>
      <c r="R6" s="15">
        <v>11.8</v>
      </c>
      <c r="S6" s="15">
        <v>24.3</v>
      </c>
      <c r="T6" s="15">
        <v>4.0999999999999996</v>
      </c>
      <c r="U6" s="12">
        <v>188</v>
      </c>
      <c r="V6" s="12">
        <v>1498</v>
      </c>
      <c r="W6" s="15">
        <v>116</v>
      </c>
      <c r="X6" s="15">
        <v>80.3</v>
      </c>
      <c r="Y6" s="24">
        <v>524</v>
      </c>
      <c r="Z6" s="19">
        <v>26.6</v>
      </c>
      <c r="AA6" s="19">
        <v>20</v>
      </c>
      <c r="AB6" s="19">
        <v>116</v>
      </c>
      <c r="AC6" s="49">
        <v>6</v>
      </c>
      <c r="AD6" s="27">
        <v>6</v>
      </c>
      <c r="AE6" s="27">
        <v>1</v>
      </c>
      <c r="AF6" s="31">
        <v>0.7</v>
      </c>
      <c r="AG6" s="15">
        <v>43.023434794320238</v>
      </c>
      <c r="AH6" s="38">
        <v>9.5</v>
      </c>
      <c r="AI6" s="38">
        <v>6.3</v>
      </c>
      <c r="AJ6" s="39">
        <v>47</v>
      </c>
      <c r="AK6" s="38">
        <v>14.4</v>
      </c>
      <c r="AL6" s="39">
        <v>14.4</v>
      </c>
      <c r="AM6" s="39">
        <v>110</v>
      </c>
      <c r="AN6" s="42">
        <v>485280</v>
      </c>
      <c r="AO6" s="19"/>
      <c r="AP6" s="84">
        <v>0</v>
      </c>
      <c r="AQ6" s="60">
        <v>445486</v>
      </c>
      <c r="AR6" s="60">
        <v>350884</v>
      </c>
      <c r="AS6" s="60">
        <v>84917</v>
      </c>
      <c r="AT6" s="60">
        <v>124912.28260000001</v>
      </c>
      <c r="AU6" s="24">
        <v>234388</v>
      </c>
      <c r="AV6" s="60">
        <v>12750.947388069226</v>
      </c>
      <c r="AW6" s="24">
        <v>362821.90529999998</v>
      </c>
      <c r="AX6" s="24">
        <v>96537.936000000002</v>
      </c>
      <c r="AY6" s="60">
        <v>98109.714999999997</v>
      </c>
      <c r="AZ6" s="60">
        <v>13836.401</v>
      </c>
    </row>
    <row r="7" spans="1:52">
      <c r="A7" s="1" t="s">
        <v>5</v>
      </c>
      <c r="B7" s="7" t="s">
        <v>259</v>
      </c>
      <c r="C7" s="7" t="s">
        <v>261</v>
      </c>
      <c r="D7" s="15">
        <v>10.283097418817652</v>
      </c>
      <c r="E7" s="15">
        <v>12.21</v>
      </c>
      <c r="F7" s="15" t="s">
        <v>280</v>
      </c>
      <c r="G7" s="12">
        <v>49487.433149577417</v>
      </c>
      <c r="H7" s="12">
        <v>24804</v>
      </c>
      <c r="I7" s="12">
        <v>24683</v>
      </c>
      <c r="J7" s="15">
        <v>13.6</v>
      </c>
      <c r="K7" s="15">
        <v>14.6</v>
      </c>
      <c r="L7" s="15">
        <v>15.7</v>
      </c>
      <c r="M7" s="15">
        <v>14.1</v>
      </c>
      <c r="N7" s="15">
        <v>14.118859498454139</v>
      </c>
      <c r="O7" s="15">
        <v>15.826378644896637</v>
      </c>
      <c r="P7" s="15">
        <v>9.0064057227150567</v>
      </c>
      <c r="Q7" s="15">
        <v>1.1000000000000001</v>
      </c>
      <c r="R7" s="15">
        <v>2</v>
      </c>
      <c r="S7" s="15">
        <v>52.4</v>
      </c>
      <c r="T7" s="15">
        <v>0.6</v>
      </c>
      <c r="U7" s="12">
        <v>-914</v>
      </c>
      <c r="V7" s="12">
        <v>843</v>
      </c>
      <c r="W7" s="15">
        <v>7.9</v>
      </c>
      <c r="X7" s="15">
        <v>6</v>
      </c>
      <c r="Y7" s="24" t="s">
        <v>280</v>
      </c>
      <c r="Z7" s="19">
        <v>11.6</v>
      </c>
      <c r="AA7" s="19">
        <v>4.7</v>
      </c>
      <c r="AB7" s="19" t="s">
        <v>280</v>
      </c>
      <c r="AC7" s="49">
        <v>2</v>
      </c>
      <c r="AD7" s="27">
        <v>2</v>
      </c>
      <c r="AE7" s="27">
        <v>7</v>
      </c>
      <c r="AF7" s="31">
        <v>0</v>
      </c>
      <c r="AG7" s="15">
        <v>84.364180380423164</v>
      </c>
      <c r="AH7" s="38">
        <v>18.5</v>
      </c>
      <c r="AI7" s="38">
        <v>17.899999999999999</v>
      </c>
      <c r="AJ7" s="39">
        <v>87</v>
      </c>
      <c r="AK7" s="38">
        <v>3.6</v>
      </c>
      <c r="AL7" s="39">
        <v>3.6</v>
      </c>
      <c r="AM7" s="39">
        <v>7</v>
      </c>
      <c r="AN7" s="42">
        <v>137636</v>
      </c>
      <c r="AO7" s="19"/>
      <c r="AP7" s="84">
        <v>0</v>
      </c>
      <c r="AQ7" s="60">
        <v>94330</v>
      </c>
      <c r="AR7" s="60">
        <v>49295</v>
      </c>
      <c r="AS7" s="60">
        <v>36367</v>
      </c>
      <c r="AT7" s="60">
        <v>48530.845000000001</v>
      </c>
      <c r="AU7" s="24">
        <v>161789</v>
      </c>
      <c r="AV7" s="60">
        <v>5172.8284072900224</v>
      </c>
      <c r="AW7" s="24">
        <v>67533.281539999996</v>
      </c>
      <c r="AX7" s="24">
        <v>48889.345000000001</v>
      </c>
      <c r="AY7" s="60">
        <v>14741.07994</v>
      </c>
      <c r="AZ7" s="60">
        <v>96.715450000000004</v>
      </c>
    </row>
    <row r="8" spans="1:52">
      <c r="A8" s="1" t="s">
        <v>6</v>
      </c>
      <c r="B8" s="7" t="s">
        <v>259</v>
      </c>
      <c r="C8" s="7" t="s">
        <v>261</v>
      </c>
      <c r="D8" s="15">
        <v>18.881642253822303</v>
      </c>
      <c r="E8" s="15">
        <v>28.84</v>
      </c>
      <c r="F8" s="15" t="s">
        <v>280</v>
      </c>
      <c r="G8" s="12">
        <v>20520.055215909462</v>
      </c>
      <c r="H8" s="12">
        <v>10298</v>
      </c>
      <c r="I8" s="12">
        <v>10222</v>
      </c>
      <c r="J8" s="15">
        <v>6.7</v>
      </c>
      <c r="K8" s="15">
        <v>7.6</v>
      </c>
      <c r="L8" s="15">
        <v>6.9</v>
      </c>
      <c r="M8" s="15">
        <v>5.2</v>
      </c>
      <c r="N8" s="15">
        <v>21.773879142300196</v>
      </c>
      <c r="O8" s="15">
        <v>17.563352826510723</v>
      </c>
      <c r="P8" s="15">
        <v>15.311890838206626</v>
      </c>
      <c r="Q8" s="15">
        <v>5.5</v>
      </c>
      <c r="R8" s="15">
        <v>13.5</v>
      </c>
      <c r="S8" s="15">
        <v>24</v>
      </c>
      <c r="T8" s="15">
        <v>5.2</v>
      </c>
      <c r="U8" s="12">
        <v>144</v>
      </c>
      <c r="V8" s="12">
        <v>499</v>
      </c>
      <c r="W8" s="15">
        <v>76.3</v>
      </c>
      <c r="X8" s="15">
        <v>53.3</v>
      </c>
      <c r="Y8" s="24">
        <v>437</v>
      </c>
      <c r="Z8" s="19">
        <v>30</v>
      </c>
      <c r="AA8" s="19">
        <v>16.600000000000001</v>
      </c>
      <c r="AB8" s="19">
        <v>185</v>
      </c>
      <c r="AC8" s="49">
        <v>6</v>
      </c>
      <c r="AD8" s="27">
        <v>6</v>
      </c>
      <c r="AE8" s="27">
        <v>5</v>
      </c>
      <c r="AF8" s="31">
        <v>4.0999999999999996</v>
      </c>
      <c r="AG8" s="15">
        <v>61.808261886204207</v>
      </c>
      <c r="AH8" s="38">
        <v>145.19999999999999</v>
      </c>
      <c r="AI8" s="38">
        <v>74</v>
      </c>
      <c r="AJ8" s="39">
        <v>425</v>
      </c>
      <c r="AK8" s="38">
        <v>28</v>
      </c>
      <c r="AL8" s="39">
        <v>25.5</v>
      </c>
      <c r="AM8" s="39">
        <v>256</v>
      </c>
      <c r="AN8" s="42">
        <v>98440</v>
      </c>
      <c r="AO8" s="19"/>
      <c r="AP8" s="84">
        <v>0</v>
      </c>
      <c r="AQ8" s="60">
        <v>89181</v>
      </c>
      <c r="AR8" s="60">
        <v>57170</v>
      </c>
      <c r="AS8" s="60">
        <v>23887</v>
      </c>
      <c r="AT8" s="60">
        <v>29624</v>
      </c>
      <c r="AU8" s="24">
        <v>69421</v>
      </c>
      <c r="AV8" s="60">
        <v>7723.5172289947341</v>
      </c>
      <c r="AW8" s="24">
        <v>64139</v>
      </c>
      <c r="AX8" s="24">
        <v>29500</v>
      </c>
      <c r="AY8" s="60">
        <v>12303</v>
      </c>
      <c r="AZ8" s="60">
        <v>11412</v>
      </c>
    </row>
    <row r="9" spans="1:52">
      <c r="A9" s="1" t="s">
        <v>7</v>
      </c>
      <c r="B9" s="7" t="s">
        <v>259</v>
      </c>
      <c r="C9" s="7" t="s">
        <v>261</v>
      </c>
      <c r="D9" s="15">
        <v>17.374144021471</v>
      </c>
      <c r="E9" s="15">
        <v>18.12</v>
      </c>
      <c r="F9" s="15" t="s">
        <v>280</v>
      </c>
      <c r="G9" s="12">
        <v>226826.9499365105</v>
      </c>
      <c r="H9" s="12">
        <v>110949</v>
      </c>
      <c r="I9" s="12">
        <v>115878</v>
      </c>
      <c r="J9" s="15">
        <v>8.8000000000000007</v>
      </c>
      <c r="K9" s="15">
        <v>8.9</v>
      </c>
      <c r="L9" s="15">
        <v>8.3000000000000007</v>
      </c>
      <c r="M9" s="15">
        <v>7.4</v>
      </c>
      <c r="N9" s="15">
        <v>13.304412614018613</v>
      </c>
      <c r="O9" s="15">
        <v>16.540799816600316</v>
      </c>
      <c r="P9" s="15">
        <v>16.155484135486518</v>
      </c>
      <c r="Q9" s="15">
        <v>4.9000000000000004</v>
      </c>
      <c r="R9" s="15">
        <v>15.8</v>
      </c>
      <c r="S9" s="15">
        <v>30.4</v>
      </c>
      <c r="T9" s="15">
        <v>7</v>
      </c>
      <c r="U9" s="12">
        <v>-1419</v>
      </c>
      <c r="V9" s="12">
        <v>5513</v>
      </c>
      <c r="W9" s="15">
        <v>341.1</v>
      </c>
      <c r="X9" s="15">
        <v>209.6</v>
      </c>
      <c r="Y9" s="24">
        <v>1152</v>
      </c>
      <c r="Z9" s="19">
        <v>255.6</v>
      </c>
      <c r="AA9" s="19">
        <v>221.3</v>
      </c>
      <c r="AB9" s="19">
        <v>1304</v>
      </c>
      <c r="AC9" s="49">
        <v>5</v>
      </c>
      <c r="AD9" s="27">
        <v>5</v>
      </c>
      <c r="AE9" s="27">
        <v>7</v>
      </c>
      <c r="AF9" s="31">
        <v>6.6</v>
      </c>
      <c r="AG9" s="15">
        <v>64.387954935527887</v>
      </c>
      <c r="AH9" s="38">
        <v>185</v>
      </c>
      <c r="AI9" s="38">
        <v>76.099999999999994</v>
      </c>
      <c r="AJ9" s="39">
        <v>396</v>
      </c>
      <c r="AK9" s="38">
        <v>203</v>
      </c>
      <c r="AL9" s="39">
        <v>150.80000000000001</v>
      </c>
      <c r="AM9" s="39">
        <v>861</v>
      </c>
      <c r="AN9" s="42">
        <v>1254010</v>
      </c>
      <c r="AO9" s="19"/>
      <c r="AP9" s="84">
        <v>0</v>
      </c>
      <c r="AQ9" s="60">
        <v>1278015</v>
      </c>
      <c r="AR9" s="60">
        <v>845923</v>
      </c>
      <c r="AS9" s="60">
        <v>298887</v>
      </c>
      <c r="AT9" s="60">
        <v>332577</v>
      </c>
      <c r="AU9" s="24">
        <v>688042</v>
      </c>
      <c r="AV9" s="60">
        <v>8466.1368525102971</v>
      </c>
      <c r="AW9" s="24">
        <v>960705</v>
      </c>
      <c r="AX9" s="24">
        <v>378995</v>
      </c>
      <c r="AY9" s="60">
        <v>292022</v>
      </c>
      <c r="AZ9" s="60">
        <v>88320</v>
      </c>
    </row>
    <row r="10" spans="1:52">
      <c r="A10" s="1" t="s">
        <v>8</v>
      </c>
      <c r="B10" s="7" t="s">
        <v>259</v>
      </c>
      <c r="C10" s="7" t="s">
        <v>261</v>
      </c>
      <c r="D10" s="15">
        <v>17.217941623032935</v>
      </c>
      <c r="E10" s="15">
        <v>21.73</v>
      </c>
      <c r="F10" s="15" t="s">
        <v>280</v>
      </c>
      <c r="G10" s="12">
        <v>153138.25632212483</v>
      </c>
      <c r="H10" s="12">
        <v>74424</v>
      </c>
      <c r="I10" s="12">
        <v>78715</v>
      </c>
      <c r="J10" s="15">
        <v>8.3000000000000007</v>
      </c>
      <c r="K10" s="15">
        <v>8.6</v>
      </c>
      <c r="L10" s="15">
        <v>7.5</v>
      </c>
      <c r="M10" s="15">
        <v>6</v>
      </c>
      <c r="N10" s="15">
        <v>12.398620851780747</v>
      </c>
      <c r="O10" s="15">
        <v>19.639802008645795</v>
      </c>
      <c r="P10" s="15">
        <v>15.761600647781741</v>
      </c>
      <c r="Q10" s="15">
        <v>5.3</v>
      </c>
      <c r="R10" s="15">
        <v>16.5</v>
      </c>
      <c r="S10" s="15">
        <v>28</v>
      </c>
      <c r="T10" s="15">
        <v>6.9</v>
      </c>
      <c r="U10" s="12">
        <v>2932</v>
      </c>
      <c r="V10" s="12">
        <v>4146</v>
      </c>
      <c r="W10" s="15">
        <v>545.70000000000005</v>
      </c>
      <c r="X10" s="15">
        <v>458.8</v>
      </c>
      <c r="Y10" s="24">
        <v>2524</v>
      </c>
      <c r="Z10" s="19">
        <v>461.2</v>
      </c>
      <c r="AA10" s="19">
        <v>430.2</v>
      </c>
      <c r="AB10" s="19">
        <v>2470</v>
      </c>
      <c r="AC10" s="49">
        <v>5</v>
      </c>
      <c r="AD10" s="27">
        <v>5</v>
      </c>
      <c r="AE10" s="27">
        <v>6</v>
      </c>
      <c r="AF10" s="31">
        <v>4.2</v>
      </c>
      <c r="AG10" s="15">
        <v>61.901940824057547</v>
      </c>
      <c r="AH10" s="38">
        <v>164.6</v>
      </c>
      <c r="AI10" s="38">
        <v>144</v>
      </c>
      <c r="AJ10" s="39">
        <v>926</v>
      </c>
      <c r="AK10" s="38">
        <v>222.6</v>
      </c>
      <c r="AL10" s="39">
        <v>200.4</v>
      </c>
      <c r="AM10" s="40">
        <v>1288</v>
      </c>
      <c r="AN10" s="42">
        <v>731271</v>
      </c>
      <c r="AO10" s="19"/>
      <c r="AP10" s="84">
        <v>0</v>
      </c>
      <c r="AQ10" s="60">
        <v>793003</v>
      </c>
      <c r="AR10" s="60">
        <v>539824</v>
      </c>
      <c r="AS10" s="60">
        <v>176546</v>
      </c>
      <c r="AT10" s="60">
        <v>222772.43</v>
      </c>
      <c r="AU10" s="24">
        <v>403880</v>
      </c>
      <c r="AV10" s="60">
        <v>7815.630324811792</v>
      </c>
      <c r="AW10" s="24">
        <v>592274.06000000006</v>
      </c>
      <c r="AX10" s="24">
        <v>212820.58</v>
      </c>
      <c r="AY10" s="60">
        <v>150774.6</v>
      </c>
      <c r="AZ10" s="60">
        <v>97444.23</v>
      </c>
    </row>
    <row r="11" spans="1:52">
      <c r="A11" s="1" t="s">
        <v>9</v>
      </c>
      <c r="B11" s="7" t="s">
        <v>259</v>
      </c>
      <c r="C11" s="7" t="s">
        <v>260</v>
      </c>
      <c r="D11" s="15">
        <v>13.056702150771235</v>
      </c>
      <c r="E11" s="15">
        <v>15.37</v>
      </c>
      <c r="F11" s="15">
        <v>99.9</v>
      </c>
      <c r="G11" s="12">
        <v>31397.336671209807</v>
      </c>
      <c r="H11" s="12">
        <v>15857</v>
      </c>
      <c r="I11" s="12">
        <v>15541</v>
      </c>
      <c r="J11" s="15">
        <v>9</v>
      </c>
      <c r="K11" s="15">
        <v>9.4</v>
      </c>
      <c r="L11" s="15">
        <v>9.6999999999999993</v>
      </c>
      <c r="M11" s="15">
        <v>10.3</v>
      </c>
      <c r="N11" s="15">
        <v>17.998534891868651</v>
      </c>
      <c r="O11" s="15">
        <v>19.001815460075804</v>
      </c>
      <c r="P11" s="15">
        <v>15.275344778163518</v>
      </c>
      <c r="Q11" s="15">
        <v>3.3</v>
      </c>
      <c r="R11" s="15">
        <v>5.9</v>
      </c>
      <c r="S11" s="15">
        <v>34.200000000000003</v>
      </c>
      <c r="T11" s="15">
        <v>2</v>
      </c>
      <c r="U11" s="12">
        <v>29</v>
      </c>
      <c r="V11" s="12">
        <v>549</v>
      </c>
      <c r="W11" s="15">
        <v>32.200000000000003</v>
      </c>
      <c r="X11" s="15">
        <v>28</v>
      </c>
      <c r="Y11" s="24">
        <v>139</v>
      </c>
      <c r="Z11" s="19">
        <v>21.5</v>
      </c>
      <c r="AA11" s="19">
        <v>15.4</v>
      </c>
      <c r="AB11" s="19">
        <v>78</v>
      </c>
      <c r="AC11" s="49">
        <v>4</v>
      </c>
      <c r="AD11" s="27">
        <v>4</v>
      </c>
      <c r="AE11" s="27">
        <v>6</v>
      </c>
      <c r="AF11" s="31">
        <v>2.5</v>
      </c>
      <c r="AG11" s="15">
        <v>47.546383762050084</v>
      </c>
      <c r="AH11" s="38">
        <v>18.899999999999999</v>
      </c>
      <c r="AI11" s="38">
        <v>12.9</v>
      </c>
      <c r="AJ11" s="38">
        <v>61</v>
      </c>
      <c r="AK11" s="38">
        <v>35.4</v>
      </c>
      <c r="AL11" s="38">
        <v>29.6</v>
      </c>
      <c r="AM11" s="38">
        <v>140</v>
      </c>
      <c r="AN11" s="42">
        <v>131378</v>
      </c>
      <c r="AO11" s="19"/>
      <c r="AP11" s="84">
        <v>0</v>
      </c>
      <c r="AQ11" s="60">
        <v>67314</v>
      </c>
      <c r="AR11" s="60">
        <v>40867</v>
      </c>
      <c r="AS11" s="60">
        <v>27715</v>
      </c>
      <c r="AT11" s="60">
        <v>43363.3462</v>
      </c>
      <c r="AU11" s="24">
        <v>137723</v>
      </c>
      <c r="AV11" s="60">
        <v>6611.3887994309771</v>
      </c>
      <c r="AW11" s="24">
        <v>62677.9882</v>
      </c>
      <c r="AX11" s="24">
        <v>44185.3462</v>
      </c>
      <c r="AY11" s="60">
        <v>12293.5893</v>
      </c>
      <c r="AZ11" s="60">
        <v>858.17039999999997</v>
      </c>
    </row>
    <row r="12" spans="1:52">
      <c r="A12" s="1" t="s">
        <v>10</v>
      </c>
      <c r="B12" s="7" t="s">
        <v>259</v>
      </c>
      <c r="C12" s="7" t="s">
        <v>261</v>
      </c>
      <c r="D12" s="15">
        <v>14.983888292158969</v>
      </c>
      <c r="E12" s="15">
        <v>37.39</v>
      </c>
      <c r="F12" s="15" t="s">
        <v>280</v>
      </c>
      <c r="G12" s="12">
        <v>31324.791315909428</v>
      </c>
      <c r="H12" s="12">
        <v>15932</v>
      </c>
      <c r="I12" s="12">
        <v>15393</v>
      </c>
      <c r="J12" s="15">
        <v>11.5</v>
      </c>
      <c r="K12" s="15">
        <v>13.3</v>
      </c>
      <c r="L12" s="15">
        <v>9.8000000000000007</v>
      </c>
      <c r="M12" s="15">
        <v>6.8</v>
      </c>
      <c r="N12" s="15">
        <v>9.640861931364725</v>
      </c>
      <c r="O12" s="15">
        <v>24.699122106943335</v>
      </c>
      <c r="P12" s="15">
        <v>13.22585794094174</v>
      </c>
      <c r="Q12" s="15">
        <v>3</v>
      </c>
      <c r="R12" s="15">
        <v>8.1</v>
      </c>
      <c r="S12" s="15">
        <v>38.4</v>
      </c>
      <c r="T12" s="15">
        <v>2.4</v>
      </c>
      <c r="U12" s="12">
        <v>1180</v>
      </c>
      <c r="V12" s="12">
        <v>585</v>
      </c>
      <c r="W12" s="15">
        <v>214.4</v>
      </c>
      <c r="X12" s="15">
        <v>183.2</v>
      </c>
      <c r="Y12" s="24">
        <v>928</v>
      </c>
      <c r="Z12" s="19">
        <v>174.7</v>
      </c>
      <c r="AA12" s="19">
        <v>168.1</v>
      </c>
      <c r="AB12" s="19">
        <v>897</v>
      </c>
      <c r="AC12" s="49">
        <v>7</v>
      </c>
      <c r="AD12" s="27">
        <v>7</v>
      </c>
      <c r="AE12" s="27">
        <v>8</v>
      </c>
      <c r="AF12" s="31">
        <v>1.7</v>
      </c>
      <c r="AG12" s="15">
        <v>77.752672765347725</v>
      </c>
      <c r="AH12" s="45">
        <v>133.19999999999999</v>
      </c>
      <c r="AI12" s="45">
        <v>119.8</v>
      </c>
      <c r="AJ12" s="45">
        <v>530</v>
      </c>
      <c r="AK12" s="45">
        <v>27.2</v>
      </c>
      <c r="AL12" s="45">
        <v>26.5</v>
      </c>
      <c r="AM12" s="45">
        <v>144</v>
      </c>
      <c r="AN12" s="41"/>
      <c r="AO12" s="19"/>
      <c r="AP12" s="84">
        <v>0</v>
      </c>
      <c r="AQ12" s="60">
        <v>185394</v>
      </c>
      <c r="AR12" s="60">
        <v>89749</v>
      </c>
      <c r="AS12" s="60">
        <v>49512</v>
      </c>
      <c r="AT12" s="60">
        <v>56750</v>
      </c>
      <c r="AU12" s="24">
        <v>81598</v>
      </c>
      <c r="AV12" s="60">
        <v>8516.0663102171802</v>
      </c>
      <c r="AW12" s="24">
        <v>110076</v>
      </c>
      <c r="AX12" s="24">
        <v>54069</v>
      </c>
      <c r="AY12" s="60">
        <v>35431</v>
      </c>
      <c r="AZ12" s="60">
        <v>2660</v>
      </c>
    </row>
    <row r="13" spans="1:52">
      <c r="A13" s="1" t="s">
        <v>11</v>
      </c>
      <c r="B13" s="7" t="s">
        <v>259</v>
      </c>
      <c r="C13" s="7" t="s">
        <v>261</v>
      </c>
      <c r="D13" s="15">
        <v>16.337040153273794</v>
      </c>
      <c r="E13" s="15">
        <v>24.07</v>
      </c>
      <c r="F13" s="15" t="s">
        <v>280</v>
      </c>
      <c r="G13" s="12">
        <v>214161.73563819038</v>
      </c>
      <c r="H13" s="12">
        <v>104957</v>
      </c>
      <c r="I13" s="12">
        <v>109205</v>
      </c>
      <c r="J13" s="15">
        <v>7.9</v>
      </c>
      <c r="K13" s="15">
        <v>7.9</v>
      </c>
      <c r="L13" s="15">
        <v>7</v>
      </c>
      <c r="M13" s="15">
        <v>6.3</v>
      </c>
      <c r="N13" s="15">
        <v>14.026764785536184</v>
      </c>
      <c r="O13" s="15">
        <v>19.206021609809394</v>
      </c>
      <c r="P13" s="15">
        <v>15.603608483297689</v>
      </c>
      <c r="Q13" s="15">
        <v>5.4</v>
      </c>
      <c r="R13" s="15">
        <v>16.600000000000001</v>
      </c>
      <c r="S13" s="15">
        <v>26.6</v>
      </c>
      <c r="T13" s="15">
        <v>6.9</v>
      </c>
      <c r="U13" s="12">
        <v>1390</v>
      </c>
      <c r="V13" s="12">
        <v>5742</v>
      </c>
      <c r="W13" s="15">
        <v>527.79999999999995</v>
      </c>
      <c r="X13" s="15">
        <v>383</v>
      </c>
      <c r="Y13" s="24">
        <v>2117</v>
      </c>
      <c r="Z13" s="19">
        <v>350.9</v>
      </c>
      <c r="AA13" s="19">
        <v>307.8</v>
      </c>
      <c r="AB13" s="19">
        <v>1353</v>
      </c>
      <c r="AC13" s="49">
        <v>5</v>
      </c>
      <c r="AD13" s="27">
        <v>5</v>
      </c>
      <c r="AE13" s="27">
        <v>5</v>
      </c>
      <c r="AF13" s="31">
        <v>2.1</v>
      </c>
      <c r="AG13" s="15">
        <v>61.314409207906365</v>
      </c>
      <c r="AH13" s="38">
        <v>172.7</v>
      </c>
      <c r="AI13" s="38">
        <v>143.69999999999999</v>
      </c>
      <c r="AJ13" s="39">
        <v>933</v>
      </c>
      <c r="AK13" s="38">
        <v>401.3</v>
      </c>
      <c r="AL13" s="39">
        <v>237.4</v>
      </c>
      <c r="AM13" s="40">
        <v>1387</v>
      </c>
      <c r="AN13" s="41"/>
      <c r="AO13" s="19"/>
      <c r="AP13" s="84">
        <v>68000</v>
      </c>
      <c r="AQ13" s="60">
        <v>1387577</v>
      </c>
      <c r="AR13" s="60">
        <v>876600</v>
      </c>
      <c r="AS13" s="60">
        <v>342181</v>
      </c>
      <c r="AT13" s="60">
        <v>379082</v>
      </c>
      <c r="AU13" s="24">
        <v>755742</v>
      </c>
      <c r="AV13" s="60">
        <v>10324.001126584642</v>
      </c>
      <c r="AW13" s="24">
        <v>1047390.091</v>
      </c>
      <c r="AX13" s="24">
        <v>453022</v>
      </c>
      <c r="AY13" s="60">
        <v>458575</v>
      </c>
      <c r="AZ13" s="60">
        <v>0</v>
      </c>
    </row>
    <row r="14" spans="1:52">
      <c r="A14" s="1" t="s">
        <v>12</v>
      </c>
      <c r="B14" s="7" t="s">
        <v>259</v>
      </c>
      <c r="C14" s="7" t="s">
        <v>261</v>
      </c>
      <c r="D14" s="15">
        <v>12.716527409822703</v>
      </c>
      <c r="E14" s="15">
        <v>15.97</v>
      </c>
      <c r="F14" s="15" t="s">
        <v>280</v>
      </c>
      <c r="G14" s="12">
        <v>19072.799516491632</v>
      </c>
      <c r="H14" s="12">
        <v>9573</v>
      </c>
      <c r="I14" s="12">
        <v>9499</v>
      </c>
      <c r="J14" s="15">
        <v>9.6</v>
      </c>
      <c r="K14" s="15">
        <v>8.5</v>
      </c>
      <c r="L14" s="15">
        <v>8</v>
      </c>
      <c r="M14" s="15">
        <v>7.2</v>
      </c>
      <c r="N14" s="15">
        <v>15.283384889634563</v>
      </c>
      <c r="O14" s="15">
        <v>18.28238871703455</v>
      </c>
      <c r="P14" s="15">
        <v>15.550778587532113</v>
      </c>
      <c r="Q14" s="15">
        <v>5.3</v>
      </c>
      <c r="R14" s="15">
        <v>12.2</v>
      </c>
      <c r="S14" s="15">
        <v>30.3</v>
      </c>
      <c r="T14" s="15">
        <v>3.9</v>
      </c>
      <c r="U14" s="12">
        <v>-68</v>
      </c>
      <c r="V14" s="12">
        <v>665</v>
      </c>
      <c r="W14" s="15">
        <v>6.1</v>
      </c>
      <c r="X14" s="15">
        <v>2.8</v>
      </c>
      <c r="Y14" s="24">
        <v>14</v>
      </c>
      <c r="Z14" s="19">
        <v>21.9</v>
      </c>
      <c r="AA14" s="19">
        <v>18</v>
      </c>
      <c r="AB14" s="19">
        <v>109</v>
      </c>
      <c r="AC14" s="49">
        <v>4</v>
      </c>
      <c r="AD14" s="27">
        <v>5</v>
      </c>
      <c r="AE14" s="27">
        <v>3</v>
      </c>
      <c r="AF14" s="31">
        <v>3.1</v>
      </c>
      <c r="AG14" s="15">
        <v>70.660262481396302</v>
      </c>
      <c r="AH14" s="38">
        <v>19.7</v>
      </c>
      <c r="AI14" s="38">
        <v>14.1</v>
      </c>
      <c r="AJ14" s="39">
        <v>101</v>
      </c>
      <c r="AK14" s="38">
        <v>15.4</v>
      </c>
      <c r="AL14" s="39">
        <v>12.3</v>
      </c>
      <c r="AM14" s="39">
        <v>68</v>
      </c>
      <c r="AN14" s="41"/>
      <c r="AO14" s="19"/>
      <c r="AP14" s="84">
        <v>0</v>
      </c>
      <c r="AQ14" s="60">
        <v>96127</v>
      </c>
      <c r="AR14" s="60">
        <v>50386</v>
      </c>
      <c r="AS14" s="60">
        <v>24523</v>
      </c>
      <c r="AT14" s="60">
        <v>27658.404999999999</v>
      </c>
      <c r="AU14" s="24">
        <v>92521</v>
      </c>
      <c r="AV14" s="60">
        <v>10645.264730248027</v>
      </c>
      <c r="AW14" s="24">
        <v>61420.803</v>
      </c>
      <c r="AX14" s="24">
        <v>32156.404999999999</v>
      </c>
      <c r="AY14" s="60">
        <v>11425.848</v>
      </c>
      <c r="AZ14" s="60">
        <v>6461.1459999999997</v>
      </c>
    </row>
    <row r="15" spans="1:52">
      <c r="A15" s="1" t="s">
        <v>13</v>
      </c>
      <c r="B15" s="7" t="s">
        <v>259</v>
      </c>
      <c r="C15" s="7" t="s">
        <v>261</v>
      </c>
      <c r="D15" s="15">
        <v>9.4566635181936771</v>
      </c>
      <c r="E15" s="15">
        <v>11.02</v>
      </c>
      <c r="F15" s="15" t="s">
        <v>280</v>
      </c>
      <c r="G15" s="12">
        <v>154694.11829399713</v>
      </c>
      <c r="H15" s="12">
        <v>77777</v>
      </c>
      <c r="I15" s="12">
        <v>76917</v>
      </c>
      <c r="J15" s="15">
        <v>18.3</v>
      </c>
      <c r="K15" s="15">
        <v>15.6</v>
      </c>
      <c r="L15" s="15">
        <v>12.4</v>
      </c>
      <c r="M15" s="15">
        <v>9</v>
      </c>
      <c r="N15" s="15">
        <v>15.224895600346491</v>
      </c>
      <c r="O15" s="15">
        <v>15.734288336974931</v>
      </c>
      <c r="P15" s="15">
        <v>8.1819592227235702</v>
      </c>
      <c r="Q15" s="15">
        <v>1.7</v>
      </c>
      <c r="R15" s="15">
        <v>3.8</v>
      </c>
      <c r="S15" s="15">
        <v>52.1</v>
      </c>
      <c r="T15" s="15">
        <v>1.5</v>
      </c>
      <c r="U15" s="12">
        <v>8196</v>
      </c>
      <c r="V15" s="12">
        <v>2601</v>
      </c>
      <c r="W15" s="15">
        <v>597.20000000000005</v>
      </c>
      <c r="X15" s="15">
        <v>394.1</v>
      </c>
      <c r="Y15" s="24">
        <v>2652</v>
      </c>
      <c r="Z15" s="19">
        <v>410.3</v>
      </c>
      <c r="AA15" s="19">
        <v>328.8</v>
      </c>
      <c r="AB15" s="19">
        <v>2000</v>
      </c>
      <c r="AC15" s="49">
        <v>2</v>
      </c>
      <c r="AD15" s="27">
        <v>2</v>
      </c>
      <c r="AE15" s="27">
        <v>6</v>
      </c>
      <c r="AF15" s="31">
        <v>2.2999999999999998</v>
      </c>
      <c r="AG15" s="15">
        <v>66.127792580446808</v>
      </c>
      <c r="AH15" s="38">
        <v>123.6</v>
      </c>
      <c r="AI15" s="38">
        <v>95.6</v>
      </c>
      <c r="AJ15" s="39">
        <v>714</v>
      </c>
      <c r="AK15" s="38">
        <v>157.30000000000001</v>
      </c>
      <c r="AL15" s="39">
        <v>102.7</v>
      </c>
      <c r="AM15" s="39">
        <v>722</v>
      </c>
      <c r="AN15" s="41"/>
      <c r="AO15" s="19"/>
      <c r="AP15" s="84">
        <v>0</v>
      </c>
      <c r="AQ15" s="60">
        <v>373838</v>
      </c>
      <c r="AR15" s="60">
        <v>250679</v>
      </c>
      <c r="AS15" s="60">
        <v>120674</v>
      </c>
      <c r="AT15" s="60">
        <v>161697.56400000001</v>
      </c>
      <c r="AU15" s="24">
        <v>374978</v>
      </c>
      <c r="AV15" s="60">
        <v>4961.1323847584263</v>
      </c>
      <c r="AW15" s="24">
        <v>291617.55099999998</v>
      </c>
      <c r="AX15" s="24">
        <v>162482.56400000001</v>
      </c>
      <c r="AY15" s="60">
        <v>62784.51</v>
      </c>
      <c r="AZ15" s="60">
        <v>33443.868000000002</v>
      </c>
    </row>
    <row r="16" spans="1:52">
      <c r="A16" s="1" t="s">
        <v>14</v>
      </c>
      <c r="B16" s="7" t="s">
        <v>259</v>
      </c>
      <c r="C16" s="7" t="s">
        <v>261</v>
      </c>
      <c r="D16" s="15">
        <v>4.553365897479086</v>
      </c>
      <c r="E16" s="15">
        <v>7.05</v>
      </c>
      <c r="F16" s="15" t="s">
        <v>280</v>
      </c>
      <c r="G16" s="12">
        <v>64015.88455374819</v>
      </c>
      <c r="H16" s="12">
        <v>31851</v>
      </c>
      <c r="I16" s="12">
        <v>32165</v>
      </c>
      <c r="J16" s="15">
        <v>18.8</v>
      </c>
      <c r="K16" s="15">
        <v>16.899999999999999</v>
      </c>
      <c r="L16" s="15">
        <v>15.3</v>
      </c>
      <c r="M16" s="15">
        <v>11</v>
      </c>
      <c r="N16" s="15">
        <v>14.499500124968758</v>
      </c>
      <c r="O16" s="15">
        <v>14.068357910522369</v>
      </c>
      <c r="P16" s="15">
        <v>7.1169707573106731</v>
      </c>
      <c r="Q16" s="15">
        <v>0.9</v>
      </c>
      <c r="R16" s="15">
        <v>1.3</v>
      </c>
      <c r="S16" s="15">
        <v>58.5</v>
      </c>
      <c r="T16" s="15">
        <v>0.4</v>
      </c>
      <c r="U16" s="12">
        <v>-1706</v>
      </c>
      <c r="V16" s="12">
        <v>1035</v>
      </c>
      <c r="W16" s="15">
        <v>45.4</v>
      </c>
      <c r="X16" s="15">
        <v>25.2</v>
      </c>
      <c r="Y16" s="24">
        <v>50</v>
      </c>
      <c r="Z16" s="19">
        <v>25.1</v>
      </c>
      <c r="AA16" s="19">
        <v>15</v>
      </c>
      <c r="AB16" s="19">
        <v>9</v>
      </c>
      <c r="AC16" s="49">
        <v>2</v>
      </c>
      <c r="AD16" s="27">
        <v>1</v>
      </c>
      <c r="AE16" s="27">
        <v>5</v>
      </c>
      <c r="AF16" s="31">
        <v>0.2</v>
      </c>
      <c r="AG16" s="15">
        <v>81.339109079746237</v>
      </c>
      <c r="AH16" s="38">
        <v>63.3</v>
      </c>
      <c r="AI16" s="38">
        <v>55.7</v>
      </c>
      <c r="AJ16" s="39">
        <v>431</v>
      </c>
      <c r="AK16" s="38">
        <v>28.7</v>
      </c>
      <c r="AL16" s="39">
        <v>12.7</v>
      </c>
      <c r="AM16" s="39">
        <v>17</v>
      </c>
      <c r="AN16" s="41"/>
      <c r="AO16" s="19"/>
      <c r="AP16" s="84">
        <v>0</v>
      </c>
      <c r="AQ16" s="60">
        <v>117096</v>
      </c>
      <c r="AR16" s="60">
        <v>40760</v>
      </c>
      <c r="AS16" s="60">
        <v>29640</v>
      </c>
      <c r="AT16" s="60">
        <v>37135.22</v>
      </c>
      <c r="AU16" s="24">
        <v>185863</v>
      </c>
      <c r="AV16" s="60">
        <v>4796.059636451957</v>
      </c>
      <c r="AW16" s="24">
        <v>61667.67</v>
      </c>
      <c r="AX16" s="24">
        <v>48518.22</v>
      </c>
      <c r="AY16" s="60">
        <v>9766.6200000000008</v>
      </c>
      <c r="AZ16" s="60">
        <v>206.14</v>
      </c>
    </row>
    <row r="17" spans="1:52">
      <c r="A17" s="1" t="s">
        <v>15</v>
      </c>
      <c r="B17" s="7" t="s">
        <v>259</v>
      </c>
      <c r="C17" s="7" t="s">
        <v>261</v>
      </c>
      <c r="D17" s="15">
        <v>5.7173955766527085</v>
      </c>
      <c r="E17" s="15">
        <v>8</v>
      </c>
      <c r="F17" s="15" t="s">
        <v>280</v>
      </c>
      <c r="G17" s="12">
        <v>218357.32398734236</v>
      </c>
      <c r="H17" s="12">
        <v>112181</v>
      </c>
      <c r="I17" s="12">
        <v>106176</v>
      </c>
      <c r="J17" s="15">
        <v>16.5</v>
      </c>
      <c r="K17" s="15">
        <v>13.9</v>
      </c>
      <c r="L17" s="15">
        <v>11.5</v>
      </c>
      <c r="M17" s="15">
        <v>10.4</v>
      </c>
      <c r="N17" s="15">
        <v>15.425198184624261</v>
      </c>
      <c r="O17" s="15">
        <v>15.542437384649906</v>
      </c>
      <c r="P17" s="15">
        <v>7.8138094954592701</v>
      </c>
      <c r="Q17" s="15">
        <v>2.1</v>
      </c>
      <c r="R17" s="15">
        <v>6.7</v>
      </c>
      <c r="S17" s="15">
        <v>48.2</v>
      </c>
      <c r="T17" s="15">
        <v>2.7</v>
      </c>
      <c r="U17" s="12">
        <v>-2329</v>
      </c>
      <c r="V17" s="12">
        <v>2877</v>
      </c>
      <c r="W17" s="15">
        <v>244.9</v>
      </c>
      <c r="X17" s="15">
        <v>185.3</v>
      </c>
      <c r="Y17" s="24">
        <v>1121</v>
      </c>
      <c r="Z17" s="19">
        <v>246.7</v>
      </c>
      <c r="AA17" s="19">
        <v>105.4</v>
      </c>
      <c r="AB17" s="19">
        <v>528</v>
      </c>
      <c r="AC17" s="49">
        <v>2</v>
      </c>
      <c r="AD17" s="27">
        <v>2</v>
      </c>
      <c r="AE17" s="27">
        <v>10</v>
      </c>
      <c r="AF17" s="31">
        <v>5.6</v>
      </c>
      <c r="AG17" s="15">
        <v>76.526568961638958</v>
      </c>
      <c r="AH17" s="38">
        <v>106.4</v>
      </c>
      <c r="AI17" s="38">
        <v>83.6</v>
      </c>
      <c r="AJ17" s="39">
        <v>439</v>
      </c>
      <c r="AK17" s="38">
        <v>176.7</v>
      </c>
      <c r="AL17" s="39">
        <v>73.900000000000006</v>
      </c>
      <c r="AM17" s="39">
        <v>383</v>
      </c>
      <c r="AN17" s="41"/>
      <c r="AO17" s="19"/>
      <c r="AP17" s="84">
        <v>0</v>
      </c>
      <c r="AQ17" s="60">
        <v>855581</v>
      </c>
      <c r="AR17" s="60">
        <v>456612</v>
      </c>
      <c r="AS17" s="60">
        <v>147494</v>
      </c>
      <c r="AT17" s="60">
        <v>269997</v>
      </c>
      <c r="AU17" s="24">
        <v>875817</v>
      </c>
      <c r="AV17" s="60">
        <v>7927.3182524454332</v>
      </c>
      <c r="AW17" s="24">
        <v>636004</v>
      </c>
      <c r="AX17" s="24">
        <v>260567</v>
      </c>
      <c r="AY17" s="60">
        <v>306052</v>
      </c>
      <c r="AZ17" s="60">
        <v>29239</v>
      </c>
    </row>
    <row r="18" spans="1:52">
      <c r="A18" s="1" t="s">
        <v>16</v>
      </c>
      <c r="B18" s="7" t="s">
        <v>259</v>
      </c>
      <c r="C18" s="7" t="s">
        <v>261</v>
      </c>
      <c r="D18" s="15">
        <v>20.009329108426758</v>
      </c>
      <c r="E18" s="15">
        <v>11.51</v>
      </c>
      <c r="F18" s="15" t="s">
        <v>280</v>
      </c>
      <c r="G18" s="12">
        <v>128465.4867957431</v>
      </c>
      <c r="H18" s="12">
        <v>61466</v>
      </c>
      <c r="I18" s="12">
        <v>67000</v>
      </c>
      <c r="J18" s="15">
        <v>5.7</v>
      </c>
      <c r="K18" s="15">
        <v>6.1</v>
      </c>
      <c r="L18" s="15">
        <v>5.6</v>
      </c>
      <c r="M18" s="15">
        <v>5</v>
      </c>
      <c r="N18" s="15">
        <v>10.683065426380727</v>
      </c>
      <c r="O18" s="15">
        <v>19.740785427937571</v>
      </c>
      <c r="P18" s="15">
        <v>18.40968357140077</v>
      </c>
      <c r="Q18" s="15">
        <v>5.9</v>
      </c>
      <c r="R18" s="15">
        <v>22.9</v>
      </c>
      <c r="S18" s="15">
        <v>20.399999999999999</v>
      </c>
      <c r="T18" s="15">
        <v>10.6</v>
      </c>
      <c r="U18" s="12">
        <v>2577</v>
      </c>
      <c r="V18" s="12">
        <v>2678</v>
      </c>
      <c r="W18" s="15">
        <v>617.9</v>
      </c>
      <c r="X18" s="15">
        <v>607</v>
      </c>
      <c r="Y18" s="24">
        <v>3340</v>
      </c>
      <c r="Z18" s="19">
        <v>99.9</v>
      </c>
      <c r="AA18" s="19">
        <v>91.8</v>
      </c>
      <c r="AB18" s="19">
        <v>558</v>
      </c>
      <c r="AC18" s="49">
        <v>5</v>
      </c>
      <c r="AD18" s="27">
        <v>5</v>
      </c>
      <c r="AE18" s="27">
        <v>9</v>
      </c>
      <c r="AF18" s="31">
        <v>3.7</v>
      </c>
      <c r="AG18" s="15">
        <v>50.758365265908836</v>
      </c>
      <c r="AH18" s="38">
        <v>17.2</v>
      </c>
      <c r="AI18" s="38">
        <v>16</v>
      </c>
      <c r="AJ18" s="39">
        <v>84</v>
      </c>
      <c r="AK18" s="38">
        <v>2.2000000000000002</v>
      </c>
      <c r="AL18" s="39">
        <v>1.7</v>
      </c>
      <c r="AM18" s="39" t="s">
        <v>282</v>
      </c>
      <c r="AN18" s="19"/>
      <c r="AO18" s="19"/>
      <c r="AP18" s="84">
        <v>0</v>
      </c>
      <c r="AQ18" s="60">
        <v>592009</v>
      </c>
      <c r="AR18" s="60">
        <v>365595</v>
      </c>
      <c r="AS18" s="60">
        <v>218995</v>
      </c>
      <c r="AT18" s="60">
        <v>393019.14</v>
      </c>
      <c r="AU18" s="24">
        <v>394478</v>
      </c>
      <c r="AV18" s="60">
        <v>7678.614891861268</v>
      </c>
      <c r="AW18" s="24">
        <v>448785.68979999999</v>
      </c>
      <c r="AX18" s="24">
        <v>290600.64</v>
      </c>
      <c r="AY18" s="60">
        <v>102349.71</v>
      </c>
      <c r="AZ18" s="60">
        <v>29941.456300000002</v>
      </c>
    </row>
    <row r="19" spans="1:52">
      <c r="A19" s="1" t="s">
        <v>17</v>
      </c>
      <c r="B19" s="7" t="s">
        <v>259</v>
      </c>
      <c r="C19" s="7" t="s">
        <v>261</v>
      </c>
      <c r="D19" s="15">
        <v>12.82316442605998</v>
      </c>
      <c r="E19" s="15">
        <v>60.32</v>
      </c>
      <c r="F19" s="15" t="s">
        <v>280</v>
      </c>
      <c r="G19" s="12">
        <v>28994.399526070065</v>
      </c>
      <c r="H19" s="12">
        <v>14476</v>
      </c>
      <c r="I19" s="12">
        <v>14519</v>
      </c>
      <c r="J19" s="15">
        <v>9.1999999999999993</v>
      </c>
      <c r="K19" s="15">
        <v>9.6</v>
      </c>
      <c r="L19" s="15">
        <v>9.4</v>
      </c>
      <c r="M19" s="15">
        <v>7.8</v>
      </c>
      <c r="N19" s="15">
        <v>13.106159895150721</v>
      </c>
      <c r="O19" s="15">
        <v>18.583155135545283</v>
      </c>
      <c r="P19" s="15">
        <v>15.775677726426157</v>
      </c>
      <c r="Q19" s="15">
        <v>3.4</v>
      </c>
      <c r="R19" s="15">
        <v>13.2</v>
      </c>
      <c r="S19" s="15">
        <v>33.200000000000003</v>
      </c>
      <c r="T19" s="15">
        <v>6.1</v>
      </c>
      <c r="U19" s="12">
        <v>576</v>
      </c>
      <c r="V19" s="12">
        <v>504</v>
      </c>
      <c r="W19" s="15">
        <v>182.5</v>
      </c>
      <c r="X19" s="15">
        <v>182.4</v>
      </c>
      <c r="Y19" s="24">
        <v>767</v>
      </c>
      <c r="Z19" s="19">
        <v>32.5</v>
      </c>
      <c r="AA19" s="19">
        <v>27.2</v>
      </c>
      <c r="AB19" s="19">
        <v>106</v>
      </c>
      <c r="AC19" s="49">
        <v>8</v>
      </c>
      <c r="AD19" s="27">
        <v>8</v>
      </c>
      <c r="AE19" s="27">
        <v>10</v>
      </c>
      <c r="AF19" s="31">
        <v>0</v>
      </c>
      <c r="AG19" s="15">
        <v>74.92307692307692</v>
      </c>
      <c r="AH19" s="38" t="s">
        <v>280</v>
      </c>
      <c r="AI19" s="38" t="s">
        <v>280</v>
      </c>
      <c r="AJ19" s="39" t="s">
        <v>280</v>
      </c>
      <c r="AK19" s="38">
        <v>3.5</v>
      </c>
      <c r="AL19" s="39">
        <v>2</v>
      </c>
      <c r="AM19" s="39">
        <v>7</v>
      </c>
      <c r="AN19" s="19"/>
      <c r="AO19" s="19"/>
      <c r="AP19" s="84">
        <v>0</v>
      </c>
      <c r="AQ19" s="60">
        <v>148311</v>
      </c>
      <c r="AR19" s="60">
        <v>89192</v>
      </c>
      <c r="AS19" s="60">
        <v>61542</v>
      </c>
      <c r="AT19" s="60">
        <v>68109.289999999994</v>
      </c>
      <c r="AU19" s="24">
        <v>59591</v>
      </c>
      <c r="AV19" s="60">
        <v>6791.2425578240327</v>
      </c>
      <c r="AW19" s="24">
        <v>98767.86</v>
      </c>
      <c r="AX19" s="24">
        <v>70279.289999999994</v>
      </c>
      <c r="AY19" s="60">
        <v>19162.3</v>
      </c>
      <c r="AZ19" s="60">
        <v>1423.18</v>
      </c>
    </row>
    <row r="20" spans="1:52">
      <c r="A20" s="1" t="s">
        <v>18</v>
      </c>
      <c r="B20" s="7" t="s">
        <v>259</v>
      </c>
      <c r="C20" s="7" t="s">
        <v>261</v>
      </c>
      <c r="D20" s="15">
        <v>14.660006116831481</v>
      </c>
      <c r="E20" s="15">
        <v>59.68</v>
      </c>
      <c r="F20" s="15" t="s">
        <v>280</v>
      </c>
      <c r="G20" s="12">
        <v>61924.142691460962</v>
      </c>
      <c r="H20" s="12">
        <v>29762</v>
      </c>
      <c r="I20" s="12">
        <v>32162</v>
      </c>
      <c r="J20" s="15">
        <v>7.4</v>
      </c>
      <c r="K20" s="15">
        <v>6.9</v>
      </c>
      <c r="L20" s="15">
        <v>6.1</v>
      </c>
      <c r="M20" s="15">
        <v>4.9000000000000004</v>
      </c>
      <c r="N20" s="15">
        <v>11.835475744460952</v>
      </c>
      <c r="O20" s="15">
        <v>25.970544538466505</v>
      </c>
      <c r="P20" s="15">
        <v>16.930430850720239</v>
      </c>
      <c r="Q20" s="15">
        <v>3.8</v>
      </c>
      <c r="R20" s="15">
        <v>16.2</v>
      </c>
      <c r="S20" s="15">
        <v>23.5</v>
      </c>
      <c r="T20" s="15">
        <v>8.4</v>
      </c>
      <c r="U20" s="12">
        <v>214</v>
      </c>
      <c r="V20" s="12">
        <v>1465</v>
      </c>
      <c r="W20" s="15">
        <v>44.8</v>
      </c>
      <c r="X20" s="15">
        <v>43.4</v>
      </c>
      <c r="Y20" s="24">
        <v>220</v>
      </c>
      <c r="Z20" s="19">
        <v>48.3</v>
      </c>
      <c r="AA20" s="19">
        <v>45.8</v>
      </c>
      <c r="AB20" s="19">
        <v>392</v>
      </c>
      <c r="AC20" s="49">
        <v>9</v>
      </c>
      <c r="AD20" s="27">
        <v>9</v>
      </c>
      <c r="AE20" s="27">
        <v>10</v>
      </c>
      <c r="AF20" s="31">
        <v>0</v>
      </c>
      <c r="AG20" s="15">
        <v>68.973064996655935</v>
      </c>
      <c r="AH20" s="38">
        <v>190.4</v>
      </c>
      <c r="AI20" s="38">
        <v>135.30000000000001</v>
      </c>
      <c r="AJ20" s="39">
        <v>626</v>
      </c>
      <c r="AK20" s="38">
        <v>17.5</v>
      </c>
      <c r="AL20" s="39">
        <v>16.899999999999999</v>
      </c>
      <c r="AM20" s="39">
        <v>83</v>
      </c>
      <c r="AN20" s="19"/>
      <c r="AO20" s="19"/>
      <c r="AP20" s="84">
        <v>0</v>
      </c>
      <c r="AQ20" s="60">
        <v>368807</v>
      </c>
      <c r="AR20" s="60">
        <v>238912</v>
      </c>
      <c r="AS20" s="60">
        <v>147531</v>
      </c>
      <c r="AT20" s="60">
        <v>154394</v>
      </c>
      <c r="AU20" s="24">
        <v>137224</v>
      </c>
      <c r="AV20" s="60">
        <v>8085.4248155629575</v>
      </c>
      <c r="AW20" s="24">
        <v>274910</v>
      </c>
      <c r="AX20" s="24">
        <v>169562</v>
      </c>
      <c r="AY20" s="60">
        <v>73574</v>
      </c>
      <c r="AZ20" s="60">
        <v>8791</v>
      </c>
    </row>
    <row r="21" spans="1:52">
      <c r="A21" s="1" t="s">
        <v>19</v>
      </c>
      <c r="B21" s="7" t="s">
        <v>259</v>
      </c>
      <c r="C21" s="7" t="s">
        <v>261</v>
      </c>
      <c r="D21" s="15">
        <v>16.591706888986398</v>
      </c>
      <c r="E21" s="15">
        <v>14.69</v>
      </c>
      <c r="F21" s="15" t="s">
        <v>280</v>
      </c>
      <c r="G21" s="12">
        <v>36775.652756639531</v>
      </c>
      <c r="H21" s="12">
        <v>18298</v>
      </c>
      <c r="I21" s="12">
        <v>18478</v>
      </c>
      <c r="J21" s="15">
        <v>8.6999999999999993</v>
      </c>
      <c r="K21" s="15">
        <v>8.5</v>
      </c>
      <c r="L21" s="15">
        <v>7.5</v>
      </c>
      <c r="M21" s="15">
        <v>7.6</v>
      </c>
      <c r="N21" s="15">
        <v>14.70796171416141</v>
      </c>
      <c r="O21" s="15">
        <v>18.62899717206874</v>
      </c>
      <c r="P21" s="15">
        <v>16.431912116597779</v>
      </c>
      <c r="Q21" s="15">
        <v>4.9000000000000004</v>
      </c>
      <c r="R21" s="15">
        <v>13.1</v>
      </c>
      <c r="S21" s="15">
        <v>29.3</v>
      </c>
      <c r="T21" s="15">
        <v>5.0999999999999996</v>
      </c>
      <c r="U21" s="12">
        <v>468</v>
      </c>
      <c r="V21" s="12">
        <v>1353</v>
      </c>
      <c r="W21" s="15">
        <v>66.099999999999994</v>
      </c>
      <c r="X21" s="15">
        <v>60.2</v>
      </c>
      <c r="Y21" s="24">
        <v>341</v>
      </c>
      <c r="Z21" s="19">
        <v>51</v>
      </c>
      <c r="AA21" s="19">
        <v>49.3</v>
      </c>
      <c r="AB21" s="19">
        <v>287</v>
      </c>
      <c r="AC21" s="49">
        <v>4</v>
      </c>
      <c r="AD21" s="27">
        <v>5</v>
      </c>
      <c r="AE21" s="27">
        <v>2</v>
      </c>
      <c r="AF21" s="31">
        <v>0.3</v>
      </c>
      <c r="AG21" s="15">
        <v>63.573062088268429</v>
      </c>
      <c r="AH21" s="38">
        <v>30.4</v>
      </c>
      <c r="AI21" s="38">
        <v>25</v>
      </c>
      <c r="AJ21" s="39">
        <v>135</v>
      </c>
      <c r="AK21" s="38">
        <v>33.299999999999997</v>
      </c>
      <c r="AL21" s="39">
        <v>31.3</v>
      </c>
      <c r="AM21" s="39">
        <v>195</v>
      </c>
      <c r="AN21" s="19"/>
      <c r="AO21" s="19"/>
      <c r="AP21" s="84">
        <v>0</v>
      </c>
      <c r="AQ21" s="60">
        <v>188920</v>
      </c>
      <c r="AR21" s="60">
        <v>110059</v>
      </c>
      <c r="AS21" s="60">
        <v>46224</v>
      </c>
      <c r="AT21" s="60">
        <v>71849.919999999998</v>
      </c>
      <c r="AU21" s="24">
        <v>190279</v>
      </c>
      <c r="AV21" s="60">
        <v>10314.07933150879</v>
      </c>
      <c r="AW21" s="24">
        <v>103045.783</v>
      </c>
      <c r="AX21" s="24">
        <v>60285.919999999998</v>
      </c>
      <c r="AY21" s="60">
        <v>16855.490000000002</v>
      </c>
      <c r="AZ21" s="60">
        <v>7026.64</v>
      </c>
    </row>
    <row r="22" spans="1:52">
      <c r="A22" s="1" t="s">
        <v>20</v>
      </c>
      <c r="B22" s="7" t="s">
        <v>259</v>
      </c>
      <c r="C22" s="7" t="s">
        <v>261</v>
      </c>
      <c r="D22" s="15">
        <v>14.578557427157049</v>
      </c>
      <c r="E22" s="15">
        <v>57.76</v>
      </c>
      <c r="F22" s="15" t="s">
        <v>280</v>
      </c>
      <c r="G22" s="12">
        <v>65613.893098962522</v>
      </c>
      <c r="H22" s="12">
        <v>31888</v>
      </c>
      <c r="I22" s="12">
        <v>33726</v>
      </c>
      <c r="J22" s="15">
        <v>7.1</v>
      </c>
      <c r="K22" s="15">
        <v>8.6</v>
      </c>
      <c r="L22" s="15">
        <v>8.6</v>
      </c>
      <c r="M22" s="15">
        <v>7.8</v>
      </c>
      <c r="N22" s="15">
        <v>10.557198158929497</v>
      </c>
      <c r="O22" s="15">
        <v>17.520651080562075</v>
      </c>
      <c r="P22" s="15">
        <v>19.959155058371689</v>
      </c>
      <c r="Q22" s="15">
        <v>4.5999999999999996</v>
      </c>
      <c r="R22" s="15">
        <v>15.3</v>
      </c>
      <c r="S22" s="15">
        <v>29.1</v>
      </c>
      <c r="T22" s="15">
        <v>6.3</v>
      </c>
      <c r="U22" s="12">
        <v>-143</v>
      </c>
      <c r="V22" s="12">
        <v>1349</v>
      </c>
      <c r="W22" s="15">
        <v>203.8</v>
      </c>
      <c r="X22" s="15">
        <v>164.9</v>
      </c>
      <c r="Y22" s="24">
        <v>685</v>
      </c>
      <c r="Z22" s="19">
        <v>124</v>
      </c>
      <c r="AA22" s="19">
        <v>60.8</v>
      </c>
      <c r="AB22" s="19">
        <v>245</v>
      </c>
      <c r="AC22" s="49">
        <v>9</v>
      </c>
      <c r="AD22" s="27">
        <v>9</v>
      </c>
      <c r="AE22" s="27">
        <v>8</v>
      </c>
      <c r="AF22" s="31">
        <v>1.1000000000000001</v>
      </c>
      <c r="AG22" s="15">
        <v>74.357079818566191</v>
      </c>
      <c r="AH22" s="38">
        <v>188.6</v>
      </c>
      <c r="AI22" s="38">
        <v>167.1</v>
      </c>
      <c r="AJ22" s="39">
        <v>669</v>
      </c>
      <c r="AK22" s="38">
        <v>134.6</v>
      </c>
      <c r="AL22" s="39">
        <v>133.19999999999999</v>
      </c>
      <c r="AM22" s="39">
        <v>461</v>
      </c>
      <c r="AN22" s="19"/>
      <c r="AO22" s="19"/>
      <c r="AP22" s="84">
        <v>0</v>
      </c>
      <c r="AQ22" s="60">
        <v>401413</v>
      </c>
      <c r="AR22" s="60">
        <v>275280</v>
      </c>
      <c r="AS22" s="60">
        <v>160017</v>
      </c>
      <c r="AT22" s="60">
        <v>173646.07999999999</v>
      </c>
      <c r="AU22" s="24">
        <v>181877</v>
      </c>
      <c r="AV22" s="60">
        <v>9297.162097666258</v>
      </c>
      <c r="AW22" s="24">
        <v>294894.15000000002</v>
      </c>
      <c r="AX22" s="24">
        <v>174400.28</v>
      </c>
      <c r="AY22" s="60">
        <v>59810.32</v>
      </c>
      <c r="AZ22" s="60">
        <v>35782.1</v>
      </c>
    </row>
    <row r="23" spans="1:52">
      <c r="A23" s="1" t="s">
        <v>21</v>
      </c>
      <c r="B23" s="7" t="s">
        <v>259</v>
      </c>
      <c r="C23" s="7" t="s">
        <v>261</v>
      </c>
      <c r="D23" s="15">
        <v>15.594936708860759</v>
      </c>
      <c r="E23" s="15">
        <v>50.59</v>
      </c>
      <c r="F23" s="15" t="s">
        <v>280</v>
      </c>
      <c r="G23" s="12">
        <v>106740.70079003133</v>
      </c>
      <c r="H23" s="12">
        <v>52110</v>
      </c>
      <c r="I23" s="12">
        <v>54631</v>
      </c>
      <c r="J23" s="15">
        <v>7.3</v>
      </c>
      <c r="K23" s="15">
        <v>7.3</v>
      </c>
      <c r="L23" s="15">
        <v>6.7</v>
      </c>
      <c r="M23" s="15">
        <v>5.8</v>
      </c>
      <c r="N23" s="15">
        <v>11.130680806812752</v>
      </c>
      <c r="O23" s="15">
        <v>20.90012272697464</v>
      </c>
      <c r="P23" s="15">
        <v>16.982228009855632</v>
      </c>
      <c r="Q23" s="15">
        <v>4.5999999999999996</v>
      </c>
      <c r="R23" s="15">
        <v>19.3</v>
      </c>
      <c r="S23" s="15">
        <v>24.9</v>
      </c>
      <c r="T23" s="15">
        <v>8.8000000000000007</v>
      </c>
      <c r="U23" s="12">
        <v>2722</v>
      </c>
      <c r="V23" s="12">
        <v>2025</v>
      </c>
      <c r="W23" s="15">
        <v>289.3</v>
      </c>
      <c r="X23" s="15">
        <v>163.30000000000001</v>
      </c>
      <c r="Y23" s="24">
        <v>618</v>
      </c>
      <c r="Z23" s="19">
        <v>237.4</v>
      </c>
      <c r="AA23" s="19">
        <v>192.3</v>
      </c>
      <c r="AB23" s="19">
        <v>941</v>
      </c>
      <c r="AC23" s="49">
        <v>8</v>
      </c>
      <c r="AD23" s="27">
        <v>8</v>
      </c>
      <c r="AE23" s="27">
        <v>8</v>
      </c>
      <c r="AF23" s="31">
        <v>1.7</v>
      </c>
      <c r="AG23" s="15">
        <v>65.638915126163809</v>
      </c>
      <c r="AH23" s="38">
        <v>146.1</v>
      </c>
      <c r="AI23" s="38">
        <v>127.1</v>
      </c>
      <c r="AJ23" s="39">
        <v>560</v>
      </c>
      <c r="AK23" s="38">
        <v>151</v>
      </c>
      <c r="AL23" s="39">
        <v>89.1</v>
      </c>
      <c r="AM23" s="39">
        <v>334</v>
      </c>
      <c r="AN23" s="19"/>
      <c r="AO23" s="19"/>
      <c r="AP23" s="84">
        <v>0</v>
      </c>
      <c r="AQ23" s="60">
        <v>846181</v>
      </c>
      <c r="AR23" s="60">
        <v>639063</v>
      </c>
      <c r="AS23" s="60">
        <v>251510</v>
      </c>
      <c r="AT23" s="60">
        <v>288636.09100000001</v>
      </c>
      <c r="AU23" s="24">
        <v>298010</v>
      </c>
      <c r="AV23" s="60">
        <v>10197.628383021229</v>
      </c>
      <c r="AW23" s="24">
        <v>708088.10100000002</v>
      </c>
      <c r="AX23" s="24">
        <v>283795.09100000001</v>
      </c>
      <c r="AY23" s="60">
        <v>228702.125</v>
      </c>
      <c r="AZ23" s="60">
        <v>72284.845000000001</v>
      </c>
    </row>
    <row r="24" spans="1:52">
      <c r="A24" s="1" t="s">
        <v>22</v>
      </c>
      <c r="B24" s="7" t="s">
        <v>259</v>
      </c>
      <c r="C24" s="7" t="s">
        <v>261</v>
      </c>
      <c r="D24" s="15">
        <v>17.28790831185702</v>
      </c>
      <c r="E24" s="15">
        <v>25.06</v>
      </c>
      <c r="F24" s="15" t="s">
        <v>280</v>
      </c>
      <c r="G24" s="12">
        <v>103041.18670617031</v>
      </c>
      <c r="H24" s="12">
        <v>50567</v>
      </c>
      <c r="I24" s="12">
        <v>52475</v>
      </c>
      <c r="J24" s="15">
        <v>8</v>
      </c>
      <c r="K24" s="15">
        <v>8.1999999999999993</v>
      </c>
      <c r="L24" s="15">
        <v>7.4</v>
      </c>
      <c r="M24" s="15">
        <v>6.5</v>
      </c>
      <c r="N24" s="15">
        <v>11.874884754612241</v>
      </c>
      <c r="O24" s="15">
        <v>19.86490814336041</v>
      </c>
      <c r="P24" s="15">
        <v>16.623479973990936</v>
      </c>
      <c r="Q24" s="15">
        <v>5.0999999999999996</v>
      </c>
      <c r="R24" s="15">
        <v>16.5</v>
      </c>
      <c r="S24" s="15">
        <v>27.5</v>
      </c>
      <c r="T24" s="15">
        <v>6.8</v>
      </c>
      <c r="U24" s="12">
        <v>1522</v>
      </c>
      <c r="V24" s="12">
        <v>2806</v>
      </c>
      <c r="W24" s="15">
        <v>84</v>
      </c>
      <c r="X24" s="15">
        <v>79.3</v>
      </c>
      <c r="Y24" s="24">
        <v>395</v>
      </c>
      <c r="Z24" s="19">
        <v>49.6</v>
      </c>
      <c r="AA24" s="19">
        <v>44.3</v>
      </c>
      <c r="AB24" s="19">
        <v>220</v>
      </c>
      <c r="AC24" s="49">
        <v>6</v>
      </c>
      <c r="AD24" s="27">
        <v>6</v>
      </c>
      <c r="AE24" s="27">
        <v>6</v>
      </c>
      <c r="AF24" s="31">
        <v>1.9</v>
      </c>
      <c r="AG24" s="15">
        <v>62.748156374390142</v>
      </c>
      <c r="AH24" s="38">
        <v>167.4</v>
      </c>
      <c r="AI24" s="38">
        <v>150.30000000000001</v>
      </c>
      <c r="AJ24" s="39">
        <v>865</v>
      </c>
      <c r="AK24" s="38">
        <v>135.9</v>
      </c>
      <c r="AL24" s="39">
        <v>123.6</v>
      </c>
      <c r="AM24" s="39">
        <v>757</v>
      </c>
      <c r="AN24" s="19"/>
      <c r="AO24" s="19"/>
      <c r="AP24" s="84">
        <v>0</v>
      </c>
      <c r="AQ24" s="60">
        <v>590868</v>
      </c>
      <c r="AR24" s="60">
        <v>433727</v>
      </c>
      <c r="AS24" s="60">
        <v>175681</v>
      </c>
      <c r="AT24" s="60">
        <v>203499.6618</v>
      </c>
      <c r="AU24" s="24">
        <v>231749</v>
      </c>
      <c r="AV24" s="60">
        <v>7973.8309142629369</v>
      </c>
      <c r="AW24" s="24">
        <v>473894.45880000002</v>
      </c>
      <c r="AX24" s="24">
        <v>221583.6618</v>
      </c>
      <c r="AY24" s="60">
        <v>83412.473899999997</v>
      </c>
      <c r="AZ24" s="60">
        <v>74739.627600000007</v>
      </c>
    </row>
    <row r="25" spans="1:52">
      <c r="A25" s="1" t="s">
        <v>23</v>
      </c>
      <c r="B25" s="7" t="s">
        <v>259</v>
      </c>
      <c r="C25" s="7" t="s">
        <v>261</v>
      </c>
      <c r="D25" s="15">
        <v>18.332191665450136</v>
      </c>
      <c r="E25" s="15">
        <v>24.44</v>
      </c>
      <c r="F25" s="15" t="s">
        <v>280</v>
      </c>
      <c r="G25" s="12">
        <v>197956.67614135618</v>
      </c>
      <c r="H25" s="12">
        <v>95672</v>
      </c>
      <c r="I25" s="12">
        <v>102285</v>
      </c>
      <c r="J25" s="15">
        <v>6.8</v>
      </c>
      <c r="K25" s="15">
        <v>7.5</v>
      </c>
      <c r="L25" s="15">
        <v>7.5</v>
      </c>
      <c r="M25" s="15">
        <v>6.5</v>
      </c>
      <c r="N25" s="15">
        <v>11.390352450279606</v>
      </c>
      <c r="O25" s="15">
        <v>19.415832731350751</v>
      </c>
      <c r="P25" s="15">
        <v>17.776082684623429</v>
      </c>
      <c r="Q25" s="15">
        <v>4.8</v>
      </c>
      <c r="R25" s="15">
        <v>18.3</v>
      </c>
      <c r="S25" s="15">
        <v>25.7</v>
      </c>
      <c r="T25" s="15">
        <v>8.3000000000000007</v>
      </c>
      <c r="U25" s="12">
        <v>-92</v>
      </c>
      <c r="V25" s="12">
        <v>4202</v>
      </c>
      <c r="W25" s="15">
        <v>104.7</v>
      </c>
      <c r="X25" s="15">
        <v>96.2</v>
      </c>
      <c r="Y25" s="24">
        <v>554</v>
      </c>
      <c r="Z25" s="19">
        <v>244.6</v>
      </c>
      <c r="AA25" s="19">
        <v>151.9</v>
      </c>
      <c r="AB25" s="19">
        <v>1100</v>
      </c>
      <c r="AC25" s="49">
        <v>7</v>
      </c>
      <c r="AD25" s="27">
        <v>7</v>
      </c>
      <c r="AE25" s="27">
        <v>9</v>
      </c>
      <c r="AF25" s="31">
        <v>8.6999999999999993</v>
      </c>
      <c r="AG25" s="15">
        <v>64.082687338501287</v>
      </c>
      <c r="AH25" s="38">
        <v>261</v>
      </c>
      <c r="AI25" s="38">
        <v>183.2</v>
      </c>
      <c r="AJ25" s="39">
        <v>771</v>
      </c>
      <c r="AK25" s="38">
        <v>138.1</v>
      </c>
      <c r="AL25" s="39">
        <v>115.3</v>
      </c>
      <c r="AM25" s="39">
        <v>482</v>
      </c>
      <c r="AN25" s="19"/>
      <c r="AO25" s="19"/>
      <c r="AP25" s="84">
        <v>0</v>
      </c>
      <c r="AQ25" s="60">
        <v>1132813</v>
      </c>
      <c r="AR25" s="60">
        <v>705655</v>
      </c>
      <c r="AS25" s="60">
        <v>315066</v>
      </c>
      <c r="AT25" s="60">
        <v>360149.08799999999</v>
      </c>
      <c r="AU25" s="24">
        <v>565863</v>
      </c>
      <c r="AV25" s="60">
        <v>8255.2507541249543</v>
      </c>
      <c r="AW25" s="24">
        <v>832681.30700000003</v>
      </c>
      <c r="AX25" s="24">
        <v>404034.08799999999</v>
      </c>
      <c r="AY25" s="60">
        <v>258705.769</v>
      </c>
      <c r="AZ25" s="60">
        <v>95814.604000000007</v>
      </c>
    </row>
    <row r="26" spans="1:52">
      <c r="A26" s="1" t="s">
        <v>24</v>
      </c>
      <c r="B26" s="7" t="s">
        <v>259</v>
      </c>
      <c r="C26" s="7" t="s">
        <v>262</v>
      </c>
      <c r="D26" s="15">
        <v>15.378280694798164</v>
      </c>
      <c r="E26" s="15">
        <v>36.14</v>
      </c>
      <c r="F26" s="15">
        <v>12.1</v>
      </c>
      <c r="G26" s="12">
        <v>290306.31322591665</v>
      </c>
      <c r="H26" s="12">
        <v>140320</v>
      </c>
      <c r="I26" s="12">
        <v>149987</v>
      </c>
      <c r="J26" s="15">
        <v>6.4</v>
      </c>
      <c r="K26" s="15">
        <v>6.8</v>
      </c>
      <c r="L26" s="15">
        <v>6.4</v>
      </c>
      <c r="M26" s="15">
        <v>5.8</v>
      </c>
      <c r="N26" s="15">
        <v>13.124771792522372</v>
      </c>
      <c r="O26" s="15">
        <v>19.091923694308761</v>
      </c>
      <c r="P26" s="15">
        <v>16.521532451964479</v>
      </c>
      <c r="Q26" s="15">
        <v>5.0999999999999996</v>
      </c>
      <c r="R26" s="15">
        <v>20.8</v>
      </c>
      <c r="S26" s="15">
        <v>23</v>
      </c>
      <c r="T26" s="15">
        <v>10.1</v>
      </c>
      <c r="U26" s="12">
        <v>6352</v>
      </c>
      <c r="V26" s="12">
        <v>5093</v>
      </c>
      <c r="W26" s="15">
        <v>367.5</v>
      </c>
      <c r="X26" s="15">
        <v>94.5</v>
      </c>
      <c r="Y26" s="24">
        <v>742</v>
      </c>
      <c r="Z26" s="19">
        <v>78.099999999999994</v>
      </c>
      <c r="AA26" s="19">
        <v>47.9</v>
      </c>
      <c r="AB26" s="19">
        <v>370</v>
      </c>
      <c r="AC26" s="49">
        <v>7</v>
      </c>
      <c r="AD26" s="27">
        <v>7</v>
      </c>
      <c r="AE26" s="27">
        <v>6</v>
      </c>
      <c r="AF26" s="31">
        <v>5.8</v>
      </c>
      <c r="AG26" s="15">
        <v>55.528796803689019</v>
      </c>
      <c r="AH26" s="38">
        <v>140.9</v>
      </c>
      <c r="AI26" s="38">
        <v>90</v>
      </c>
      <c r="AJ26" s="39">
        <v>537</v>
      </c>
      <c r="AK26" s="38">
        <v>142.19999999999999</v>
      </c>
      <c r="AL26" s="39">
        <v>137</v>
      </c>
      <c r="AM26" s="39">
        <v>796</v>
      </c>
      <c r="AN26" s="19"/>
      <c r="AO26" s="19"/>
      <c r="AP26" s="84">
        <v>0</v>
      </c>
      <c r="AQ26" s="60">
        <v>2556995</v>
      </c>
      <c r="AR26" s="60">
        <v>1538559</v>
      </c>
      <c r="AS26" s="60">
        <v>602810</v>
      </c>
      <c r="AT26" s="60">
        <v>850913</v>
      </c>
      <c r="AU26" s="24">
        <v>663994</v>
      </c>
      <c r="AV26" s="60">
        <v>11093.162130076964</v>
      </c>
      <c r="AW26" s="24">
        <v>1743837</v>
      </c>
      <c r="AX26" s="24">
        <v>754370</v>
      </c>
      <c r="AY26" s="60">
        <v>537913</v>
      </c>
      <c r="AZ26" s="60">
        <v>175073</v>
      </c>
    </row>
    <row r="27" spans="1:52">
      <c r="A27" s="8" t="s">
        <v>25</v>
      </c>
      <c r="B27" s="10" t="s">
        <v>259</v>
      </c>
      <c r="C27" s="10" t="s">
        <v>261</v>
      </c>
      <c r="D27" s="15">
        <v>17.780553820528837</v>
      </c>
      <c r="E27" s="15">
        <v>27</v>
      </c>
      <c r="F27" s="15" t="s">
        <v>280</v>
      </c>
      <c r="G27" s="12">
        <v>33380.12661251791</v>
      </c>
      <c r="H27" s="12">
        <v>16543</v>
      </c>
      <c r="I27" s="12">
        <v>16837</v>
      </c>
      <c r="J27" s="15">
        <v>19.3</v>
      </c>
      <c r="K27" s="15">
        <v>15.2</v>
      </c>
      <c r="L27" s="15">
        <v>8.9</v>
      </c>
      <c r="M27" s="15">
        <v>3.6</v>
      </c>
      <c r="N27" s="15">
        <v>10.629119233073697</v>
      </c>
      <c r="O27" s="15">
        <v>26.908328340323546</v>
      </c>
      <c r="P27" s="15">
        <v>9.1851408028759742</v>
      </c>
      <c r="Q27" s="15">
        <v>1.9</v>
      </c>
      <c r="R27" s="15">
        <v>4.3</v>
      </c>
      <c r="S27" s="15">
        <v>45.8</v>
      </c>
      <c r="T27" s="15">
        <v>1.1000000000000001</v>
      </c>
      <c r="U27" s="12">
        <v>5452</v>
      </c>
      <c r="V27" s="12">
        <v>1145</v>
      </c>
      <c r="W27" s="15">
        <v>57.5</v>
      </c>
      <c r="X27" s="15">
        <v>39.4</v>
      </c>
      <c r="Y27" s="24">
        <v>243</v>
      </c>
      <c r="Z27" s="24">
        <v>113.9</v>
      </c>
      <c r="AA27" s="24">
        <v>110.9</v>
      </c>
      <c r="AB27" s="24">
        <v>795</v>
      </c>
      <c r="AC27" s="49">
        <v>5</v>
      </c>
      <c r="AD27" s="27">
        <v>5</v>
      </c>
      <c r="AE27" s="27">
        <v>5</v>
      </c>
      <c r="AF27" s="31">
        <v>0</v>
      </c>
      <c r="AG27" s="15">
        <v>71.399617812264751</v>
      </c>
      <c r="AH27" s="48">
        <v>3.7</v>
      </c>
      <c r="AI27" s="48">
        <v>3.7</v>
      </c>
      <c r="AJ27" s="48">
        <v>19</v>
      </c>
      <c r="AK27" s="48">
        <v>0.5</v>
      </c>
      <c r="AL27" s="48">
        <v>0.5</v>
      </c>
      <c r="AM27" s="48">
        <v>3</v>
      </c>
      <c r="AN27" s="19"/>
      <c r="AO27" s="19"/>
      <c r="AP27" s="84">
        <v>0</v>
      </c>
      <c r="AQ27" s="60">
        <v>112111</v>
      </c>
      <c r="AR27" s="60">
        <v>61238</v>
      </c>
      <c r="AS27" s="60">
        <v>56015</v>
      </c>
      <c r="AT27" s="60">
        <v>74758.34</v>
      </c>
      <c r="AU27" s="24">
        <v>150201</v>
      </c>
      <c r="AV27" s="60">
        <v>8596.9715852540794</v>
      </c>
      <c r="AW27" s="24">
        <v>76992.271999999997</v>
      </c>
      <c r="AX27" s="24">
        <v>69697.34</v>
      </c>
      <c r="AY27" s="60">
        <v>6611.0709999999999</v>
      </c>
      <c r="AZ27" s="60">
        <v>0</v>
      </c>
    </row>
    <row r="28" spans="1:52">
      <c r="A28" s="1" t="s">
        <v>26</v>
      </c>
      <c r="B28" s="7" t="s">
        <v>259</v>
      </c>
      <c r="C28" s="7" t="s">
        <v>261</v>
      </c>
      <c r="D28" s="15">
        <v>13.200934579439252</v>
      </c>
      <c r="E28" s="15">
        <v>12.23</v>
      </c>
      <c r="F28" s="15" t="s">
        <v>280</v>
      </c>
      <c r="G28" s="12">
        <v>48471.598229389449</v>
      </c>
      <c r="H28" s="12">
        <v>24258</v>
      </c>
      <c r="I28" s="12">
        <v>24213</v>
      </c>
      <c r="J28" s="15">
        <v>11.4</v>
      </c>
      <c r="K28" s="15">
        <v>9.4</v>
      </c>
      <c r="L28" s="15">
        <v>7.5</v>
      </c>
      <c r="M28" s="15">
        <v>6.8</v>
      </c>
      <c r="N28" s="15">
        <v>15.035484403366892</v>
      </c>
      <c r="O28" s="15">
        <v>16.735434890245916</v>
      </c>
      <c r="P28" s="15">
        <v>14.286598448588874</v>
      </c>
      <c r="Q28" s="15">
        <v>5</v>
      </c>
      <c r="R28" s="15">
        <v>13.9</v>
      </c>
      <c r="S28" s="15">
        <v>32.4</v>
      </c>
      <c r="T28" s="15">
        <v>5.4</v>
      </c>
      <c r="U28" s="12">
        <v>966</v>
      </c>
      <c r="V28" s="12">
        <v>1471</v>
      </c>
      <c r="W28" s="15">
        <v>38.4</v>
      </c>
      <c r="X28" s="15">
        <v>31.4</v>
      </c>
      <c r="Y28" s="24">
        <v>156</v>
      </c>
      <c r="Z28" s="19">
        <v>25.5</v>
      </c>
      <c r="AA28" s="19">
        <v>18.8</v>
      </c>
      <c r="AB28" s="19">
        <v>115</v>
      </c>
      <c r="AC28" s="49">
        <v>3</v>
      </c>
      <c r="AD28" s="27">
        <v>4</v>
      </c>
      <c r="AE28" s="27">
        <v>3</v>
      </c>
      <c r="AF28" s="31">
        <v>1.4</v>
      </c>
      <c r="AG28" s="15">
        <v>61.737779957495512</v>
      </c>
      <c r="AH28" s="38">
        <v>53.1</v>
      </c>
      <c r="AI28" s="38">
        <v>47</v>
      </c>
      <c r="AJ28" s="39">
        <v>326</v>
      </c>
      <c r="AK28" s="38">
        <v>74.400000000000006</v>
      </c>
      <c r="AL28" s="39">
        <v>23.6</v>
      </c>
      <c r="AM28" s="39">
        <v>133</v>
      </c>
      <c r="AN28" s="19"/>
      <c r="AO28" s="19"/>
      <c r="AP28" s="84">
        <v>0</v>
      </c>
      <c r="AQ28" s="60">
        <v>229341</v>
      </c>
      <c r="AR28" s="60">
        <v>150390</v>
      </c>
      <c r="AS28" s="60">
        <v>58943</v>
      </c>
      <c r="AT28" s="60">
        <v>76671</v>
      </c>
      <c r="AU28" s="24">
        <v>174721</v>
      </c>
      <c r="AV28" s="60">
        <v>8333.0860700833091</v>
      </c>
      <c r="AW28" s="24">
        <v>168048</v>
      </c>
      <c r="AX28" s="24">
        <v>77311</v>
      </c>
      <c r="AY28" s="60">
        <v>48152</v>
      </c>
      <c r="AZ28" s="60">
        <v>8376</v>
      </c>
    </row>
    <row r="29" spans="1:52">
      <c r="A29" s="1" t="s">
        <v>27</v>
      </c>
      <c r="B29" s="7" t="s">
        <v>259</v>
      </c>
      <c r="C29" s="7" t="s">
        <v>260</v>
      </c>
      <c r="D29" s="15">
        <v>11.419225699360446</v>
      </c>
      <c r="E29" s="15">
        <v>16.010000000000002</v>
      </c>
      <c r="F29" s="15">
        <v>99.9</v>
      </c>
      <c r="G29" s="12">
        <v>46020.49041020091</v>
      </c>
      <c r="H29" s="12">
        <v>23179</v>
      </c>
      <c r="I29" s="12">
        <v>22842</v>
      </c>
      <c r="J29" s="15">
        <v>9.1999999999999993</v>
      </c>
      <c r="K29" s="15">
        <v>9.4</v>
      </c>
      <c r="L29" s="15">
        <v>9.8000000000000007</v>
      </c>
      <c r="M29" s="15">
        <v>10.4</v>
      </c>
      <c r="N29" s="15">
        <v>17.705345501955673</v>
      </c>
      <c r="O29" s="15">
        <v>18.04432855280313</v>
      </c>
      <c r="P29" s="15">
        <v>15.732290308561495</v>
      </c>
      <c r="Q29" s="15">
        <v>3.6</v>
      </c>
      <c r="R29" s="15">
        <v>6.1</v>
      </c>
      <c r="S29" s="15">
        <v>34.6</v>
      </c>
      <c r="T29" s="15">
        <v>2.2999999999999998</v>
      </c>
      <c r="U29" s="12">
        <v>22</v>
      </c>
      <c r="V29" s="12">
        <v>813</v>
      </c>
      <c r="W29" s="15">
        <v>22</v>
      </c>
      <c r="X29" s="15">
        <v>14.7</v>
      </c>
      <c r="Y29" s="24">
        <v>80</v>
      </c>
      <c r="Z29" s="19">
        <v>19.8</v>
      </c>
      <c r="AA29" s="19">
        <v>13.2</v>
      </c>
      <c r="AB29" s="19">
        <v>66</v>
      </c>
      <c r="AC29" s="49">
        <v>3</v>
      </c>
      <c r="AD29" s="27">
        <v>3</v>
      </c>
      <c r="AE29" s="27">
        <v>6</v>
      </c>
      <c r="AF29" s="31">
        <v>5.3</v>
      </c>
      <c r="AG29" s="15">
        <v>57.713141393913524</v>
      </c>
      <c r="AH29" s="38">
        <v>18.8</v>
      </c>
      <c r="AI29" s="38">
        <v>11.6</v>
      </c>
      <c r="AJ29" s="39">
        <v>59</v>
      </c>
      <c r="AK29" s="38">
        <v>14.3</v>
      </c>
      <c r="AL29" s="39">
        <v>9.6</v>
      </c>
      <c r="AM29" s="39">
        <v>49</v>
      </c>
      <c r="AN29" s="19"/>
      <c r="AO29" s="19"/>
      <c r="AP29" s="84">
        <v>0</v>
      </c>
      <c r="AQ29" s="60">
        <v>93098</v>
      </c>
      <c r="AR29" s="60">
        <v>47582</v>
      </c>
      <c r="AS29" s="60">
        <v>37649</v>
      </c>
      <c r="AT29" s="60">
        <v>56909.531000000003</v>
      </c>
      <c r="AU29" s="24">
        <v>132719</v>
      </c>
      <c r="AV29" s="60">
        <v>5103.6613887960229</v>
      </c>
      <c r="AW29" s="24">
        <v>75705.312999999995</v>
      </c>
      <c r="AX29" s="24">
        <v>59786.911</v>
      </c>
      <c r="AY29" s="60">
        <v>11457.097</v>
      </c>
      <c r="AZ29" s="60">
        <v>999.226</v>
      </c>
    </row>
    <row r="30" spans="1:52">
      <c r="A30" s="1" t="s">
        <v>28</v>
      </c>
      <c r="B30" s="7" t="s">
        <v>259</v>
      </c>
      <c r="C30" s="7" t="s">
        <v>260</v>
      </c>
      <c r="D30" s="15">
        <v>14.575991602309365</v>
      </c>
      <c r="E30" s="15">
        <v>18.760000000000002</v>
      </c>
      <c r="F30" s="15">
        <v>99.7</v>
      </c>
      <c r="G30" s="12">
        <v>27802.423143876887</v>
      </c>
      <c r="H30" s="12">
        <v>13976</v>
      </c>
      <c r="I30" s="12">
        <v>13826</v>
      </c>
      <c r="J30" s="15">
        <v>8.6</v>
      </c>
      <c r="K30" s="15">
        <v>8.9</v>
      </c>
      <c r="L30" s="15">
        <v>8.4</v>
      </c>
      <c r="M30" s="15">
        <v>8.6999999999999993</v>
      </c>
      <c r="N30" s="15">
        <v>17.549097187252716</v>
      </c>
      <c r="O30" s="15">
        <v>20.074095388820947</v>
      </c>
      <c r="P30" s="15">
        <v>15.937702323573843</v>
      </c>
      <c r="Q30" s="15">
        <v>4.3</v>
      </c>
      <c r="R30" s="15">
        <v>7.6</v>
      </c>
      <c r="S30" s="15">
        <v>30.8</v>
      </c>
      <c r="T30" s="15">
        <v>2.8</v>
      </c>
      <c r="U30" s="12">
        <v>60</v>
      </c>
      <c r="V30" s="12">
        <v>309</v>
      </c>
      <c r="W30" s="15">
        <v>20.8</v>
      </c>
      <c r="X30" s="15">
        <v>19.5</v>
      </c>
      <c r="Y30" s="24">
        <v>100</v>
      </c>
      <c r="Z30" s="19">
        <v>14.7</v>
      </c>
      <c r="AA30" s="19">
        <v>11.9</v>
      </c>
      <c r="AB30" s="19">
        <v>70</v>
      </c>
      <c r="AC30" s="49">
        <v>5</v>
      </c>
      <c r="AD30" s="27">
        <v>5</v>
      </c>
      <c r="AE30" s="27">
        <v>6</v>
      </c>
      <c r="AF30" s="31">
        <v>2.1</v>
      </c>
      <c r="AG30" s="15">
        <v>62.270303845954757</v>
      </c>
      <c r="AH30" s="38">
        <v>44.5</v>
      </c>
      <c r="AI30" s="38">
        <v>18.7</v>
      </c>
      <c r="AJ30" s="39">
        <v>101</v>
      </c>
      <c r="AK30" s="38">
        <v>28.9</v>
      </c>
      <c r="AL30" s="39">
        <v>21.8</v>
      </c>
      <c r="AM30" s="39">
        <v>114</v>
      </c>
      <c r="AN30" s="19"/>
      <c r="AO30" s="19"/>
      <c r="AP30" s="84">
        <v>0</v>
      </c>
      <c r="AQ30" s="60">
        <v>57966</v>
      </c>
      <c r="AR30" s="60">
        <v>40730</v>
      </c>
      <c r="AS30" s="60">
        <v>23388</v>
      </c>
      <c r="AT30" s="60">
        <v>38359</v>
      </c>
      <c r="AU30" s="24">
        <v>72352</v>
      </c>
      <c r="AV30" s="60">
        <v>4686.5699196689047</v>
      </c>
      <c r="AW30" s="24">
        <v>62399.67</v>
      </c>
      <c r="AX30" s="24">
        <v>37188.22</v>
      </c>
      <c r="AY30" s="60">
        <v>13516.48</v>
      </c>
      <c r="AZ30" s="60">
        <v>0</v>
      </c>
    </row>
    <row r="31" spans="1:52">
      <c r="A31" s="1" t="s">
        <v>29</v>
      </c>
      <c r="B31" s="7" t="s">
        <v>259</v>
      </c>
      <c r="C31" s="7" t="s">
        <v>261</v>
      </c>
      <c r="D31" s="15">
        <v>15.396031870020311</v>
      </c>
      <c r="E31" s="15">
        <v>24.48</v>
      </c>
      <c r="F31" s="15" t="s">
        <v>280</v>
      </c>
      <c r="G31" s="12">
        <v>28752.661415046536</v>
      </c>
      <c r="H31" s="12">
        <v>14158</v>
      </c>
      <c r="I31" s="12">
        <v>14595</v>
      </c>
      <c r="J31" s="15">
        <v>10.1</v>
      </c>
      <c r="K31" s="15">
        <v>8.9</v>
      </c>
      <c r="L31" s="15">
        <v>6.2</v>
      </c>
      <c r="M31" s="15">
        <v>5.3</v>
      </c>
      <c r="N31" s="15">
        <v>10.896254303898724</v>
      </c>
      <c r="O31" s="15">
        <v>23.955761137968214</v>
      </c>
      <c r="P31" s="15">
        <v>15.045386568358085</v>
      </c>
      <c r="Q31" s="15">
        <v>5.0999999999999996</v>
      </c>
      <c r="R31" s="15">
        <v>14.5</v>
      </c>
      <c r="S31" s="15">
        <v>28.3</v>
      </c>
      <c r="T31" s="15">
        <v>5.2</v>
      </c>
      <c r="U31" s="12">
        <v>1651</v>
      </c>
      <c r="V31" s="12">
        <v>784</v>
      </c>
      <c r="W31" s="15">
        <v>43.6</v>
      </c>
      <c r="X31" s="15">
        <v>28.3</v>
      </c>
      <c r="Y31" s="24">
        <v>187</v>
      </c>
      <c r="Z31" s="19">
        <v>90.7</v>
      </c>
      <c r="AA31" s="19">
        <v>57.8</v>
      </c>
      <c r="AB31" s="19">
        <v>507</v>
      </c>
      <c r="AC31" s="49">
        <v>6</v>
      </c>
      <c r="AD31" s="27">
        <v>5</v>
      </c>
      <c r="AE31" s="27">
        <v>5</v>
      </c>
      <c r="AF31" s="31">
        <v>5</v>
      </c>
      <c r="AG31" s="15">
        <v>68.51692419230595</v>
      </c>
      <c r="AH31" s="38">
        <v>67.099999999999994</v>
      </c>
      <c r="AI31" s="38">
        <v>60.1</v>
      </c>
      <c r="AJ31" s="39">
        <v>534</v>
      </c>
      <c r="AK31" s="38">
        <v>16.2</v>
      </c>
      <c r="AL31" s="39">
        <v>14</v>
      </c>
      <c r="AM31" s="39">
        <v>93</v>
      </c>
      <c r="AN31" s="19"/>
      <c r="AO31" s="19"/>
      <c r="AP31" s="84">
        <v>0</v>
      </c>
      <c r="AQ31" s="60">
        <v>173463</v>
      </c>
      <c r="AR31" s="60">
        <v>105168</v>
      </c>
      <c r="AS31" s="60">
        <v>43583</v>
      </c>
      <c r="AT31" s="60">
        <v>60162</v>
      </c>
      <c r="AU31" s="24">
        <v>124525</v>
      </c>
      <c r="AV31" s="60">
        <v>10363.423256675167</v>
      </c>
      <c r="AW31" s="24">
        <v>89131</v>
      </c>
      <c r="AX31" s="24">
        <v>44598</v>
      </c>
      <c r="AY31" s="60">
        <v>20845</v>
      </c>
      <c r="AZ31" s="60">
        <v>10027</v>
      </c>
    </row>
    <row r="32" spans="1:52">
      <c r="A32" s="1" t="s">
        <v>30</v>
      </c>
      <c r="B32" s="7" t="s">
        <v>259</v>
      </c>
      <c r="C32" s="7" t="s">
        <v>260</v>
      </c>
      <c r="D32" s="15">
        <v>14.699731102479833</v>
      </c>
      <c r="E32" s="15">
        <v>15.41</v>
      </c>
      <c r="F32" s="15">
        <v>99.9</v>
      </c>
      <c r="G32" s="12">
        <v>35833.963184621796</v>
      </c>
      <c r="H32" s="12">
        <v>18120</v>
      </c>
      <c r="I32" s="12">
        <v>17714</v>
      </c>
      <c r="J32" s="15">
        <v>8.6</v>
      </c>
      <c r="K32" s="15">
        <v>8.8000000000000007</v>
      </c>
      <c r="L32" s="15">
        <v>9.4</v>
      </c>
      <c r="M32" s="15">
        <v>9.8000000000000007</v>
      </c>
      <c r="N32" s="15">
        <v>18.11129095272646</v>
      </c>
      <c r="O32" s="15">
        <v>19.1187140704359</v>
      </c>
      <c r="P32" s="15">
        <v>16.358765418317802</v>
      </c>
      <c r="Q32" s="15">
        <v>3.7</v>
      </c>
      <c r="R32" s="15">
        <v>6.2</v>
      </c>
      <c r="S32" s="15">
        <v>32.6</v>
      </c>
      <c r="T32" s="15">
        <v>2.1</v>
      </c>
      <c r="U32" s="12">
        <v>-22</v>
      </c>
      <c r="V32" s="12">
        <v>603</v>
      </c>
      <c r="W32" s="15">
        <v>13.9</v>
      </c>
      <c r="X32" s="15">
        <v>7.4</v>
      </c>
      <c r="Y32" s="24">
        <v>39</v>
      </c>
      <c r="Z32" s="19">
        <v>7.8</v>
      </c>
      <c r="AA32" s="19">
        <v>7.2</v>
      </c>
      <c r="AB32" s="19">
        <v>32</v>
      </c>
      <c r="AC32" s="49">
        <v>3</v>
      </c>
      <c r="AD32" s="27">
        <v>3</v>
      </c>
      <c r="AE32" s="27">
        <v>4</v>
      </c>
      <c r="AF32" s="31">
        <v>0.7</v>
      </c>
      <c r="AG32" s="15">
        <v>63.51467167285638</v>
      </c>
      <c r="AH32" s="38">
        <v>40</v>
      </c>
      <c r="AI32" s="38">
        <v>32.200000000000003</v>
      </c>
      <c r="AJ32" s="39">
        <v>138</v>
      </c>
      <c r="AK32" s="38">
        <v>64.2</v>
      </c>
      <c r="AL32" s="39">
        <v>53.9</v>
      </c>
      <c r="AM32" s="39">
        <v>199</v>
      </c>
      <c r="AN32" s="19"/>
      <c r="AO32" s="19"/>
      <c r="AP32" s="84">
        <v>0</v>
      </c>
      <c r="AQ32" s="60">
        <v>72850</v>
      </c>
      <c r="AR32" s="60">
        <v>44489</v>
      </c>
      <c r="AS32" s="60">
        <v>29090</v>
      </c>
      <c r="AT32" s="60">
        <v>99981.540900000007</v>
      </c>
      <c r="AU32" s="24">
        <v>193574</v>
      </c>
      <c r="AV32" s="60">
        <v>7660.0793103956257</v>
      </c>
      <c r="AW32" s="24">
        <v>62561.0985</v>
      </c>
      <c r="AX32" s="24">
        <v>44041.5409</v>
      </c>
      <c r="AY32" s="60">
        <v>13321.968000000001</v>
      </c>
      <c r="AZ32" s="60">
        <v>1554.4934000000001</v>
      </c>
    </row>
    <row r="33" spans="1:52">
      <c r="A33" s="1" t="s">
        <v>31</v>
      </c>
      <c r="B33" s="7" t="s">
        <v>259</v>
      </c>
      <c r="C33" s="7" t="s">
        <v>261</v>
      </c>
      <c r="D33" s="15">
        <v>15.78242117164273</v>
      </c>
      <c r="E33" s="15">
        <v>34.32</v>
      </c>
      <c r="F33" s="15" t="s">
        <v>280</v>
      </c>
      <c r="G33" s="12">
        <v>56231.919169910732</v>
      </c>
      <c r="H33" s="12">
        <v>27903</v>
      </c>
      <c r="I33" s="12">
        <v>28329</v>
      </c>
      <c r="J33" s="15">
        <v>10.9</v>
      </c>
      <c r="K33" s="15">
        <v>11.7</v>
      </c>
      <c r="L33" s="15">
        <v>8.6</v>
      </c>
      <c r="M33" s="15">
        <v>5.7</v>
      </c>
      <c r="N33" s="15">
        <v>10.355313700384123</v>
      </c>
      <c r="O33" s="15">
        <v>23.011808223075828</v>
      </c>
      <c r="P33" s="15">
        <v>13.757291222079953</v>
      </c>
      <c r="Q33" s="15">
        <v>4.0999999999999996</v>
      </c>
      <c r="R33" s="15">
        <v>11.8</v>
      </c>
      <c r="S33" s="15">
        <v>34.9</v>
      </c>
      <c r="T33" s="15">
        <v>3.6</v>
      </c>
      <c r="U33" s="12">
        <v>1856</v>
      </c>
      <c r="V33" s="12">
        <v>1191</v>
      </c>
      <c r="W33" s="15">
        <v>95.4</v>
      </c>
      <c r="X33" s="15">
        <v>67.7</v>
      </c>
      <c r="Y33" s="24">
        <v>321</v>
      </c>
      <c r="Z33" s="19">
        <v>125.3</v>
      </c>
      <c r="AA33" s="19">
        <v>113.7</v>
      </c>
      <c r="AB33" s="19">
        <v>514</v>
      </c>
      <c r="AC33" s="49">
        <v>7</v>
      </c>
      <c r="AD33" s="27">
        <v>7</v>
      </c>
      <c r="AE33" s="27">
        <v>7</v>
      </c>
      <c r="AF33" s="31">
        <v>3.4</v>
      </c>
      <c r="AG33" s="15">
        <v>75.612404332512384</v>
      </c>
      <c r="AH33" s="38">
        <v>152.30000000000001</v>
      </c>
      <c r="AI33" s="38">
        <v>116.1</v>
      </c>
      <c r="AJ33" s="39">
        <v>613</v>
      </c>
      <c r="AK33" s="38">
        <v>184</v>
      </c>
      <c r="AL33" s="39">
        <v>182.8</v>
      </c>
      <c r="AM33" s="40">
        <v>1150</v>
      </c>
      <c r="AN33" s="19"/>
      <c r="AO33" s="19"/>
      <c r="AP33" s="84">
        <v>0</v>
      </c>
      <c r="AQ33" s="60">
        <v>269953</v>
      </c>
      <c r="AR33" s="60">
        <v>220086</v>
      </c>
      <c r="AS33" s="60">
        <v>98317</v>
      </c>
      <c r="AT33" s="60">
        <v>117957.13452000001</v>
      </c>
      <c r="AU33" s="24">
        <v>183190</v>
      </c>
      <c r="AV33" s="60">
        <v>8005.0442283475522</v>
      </c>
      <c r="AW33" s="24">
        <v>234789.43487999999</v>
      </c>
      <c r="AX33" s="24">
        <v>112130.13452000001</v>
      </c>
      <c r="AY33" s="60">
        <v>38614.843659999999</v>
      </c>
      <c r="AZ33" s="60">
        <v>49689.884310000001</v>
      </c>
    </row>
    <row r="34" spans="1:52">
      <c r="A34" s="1" t="s">
        <v>32</v>
      </c>
      <c r="B34" s="7" t="s">
        <v>259</v>
      </c>
      <c r="C34" s="7" t="s">
        <v>261</v>
      </c>
      <c r="D34" s="15">
        <v>15.077557990607657</v>
      </c>
      <c r="E34" s="15">
        <v>37.78</v>
      </c>
      <c r="F34" s="15" t="s">
        <v>280</v>
      </c>
      <c r="G34" s="12">
        <v>31404.972089527506</v>
      </c>
      <c r="H34" s="12">
        <v>15430</v>
      </c>
      <c r="I34" s="12">
        <v>15975</v>
      </c>
      <c r="J34" s="15">
        <v>7</v>
      </c>
      <c r="K34" s="15">
        <v>8</v>
      </c>
      <c r="L34" s="15">
        <v>7.7</v>
      </c>
      <c r="M34" s="15">
        <v>7.4</v>
      </c>
      <c r="N34" s="15">
        <v>12.045852571246616</v>
      </c>
      <c r="O34" s="15">
        <v>16.924056678872791</v>
      </c>
      <c r="P34" s="15">
        <v>18.799554211112877</v>
      </c>
      <c r="Q34" s="15">
        <v>4.8</v>
      </c>
      <c r="R34" s="15">
        <v>17.399999999999999</v>
      </c>
      <c r="S34" s="15">
        <v>27.1</v>
      </c>
      <c r="T34" s="15">
        <v>6.8</v>
      </c>
      <c r="U34" s="12">
        <v>609</v>
      </c>
      <c r="V34" s="12">
        <v>611</v>
      </c>
      <c r="W34" s="15">
        <v>10.8</v>
      </c>
      <c r="X34" s="15">
        <v>7</v>
      </c>
      <c r="Y34" s="24">
        <v>24</v>
      </c>
      <c r="Z34" s="19">
        <v>48.1</v>
      </c>
      <c r="AA34" s="19">
        <v>48.1</v>
      </c>
      <c r="AB34" s="19">
        <v>272</v>
      </c>
      <c r="AC34" s="49">
        <v>7</v>
      </c>
      <c r="AD34" s="27">
        <v>7</v>
      </c>
      <c r="AE34" s="27">
        <v>8</v>
      </c>
      <c r="AF34" s="31">
        <v>7.1</v>
      </c>
      <c r="AG34" s="15">
        <v>74.271824661146127</v>
      </c>
      <c r="AH34" s="38">
        <v>53.7</v>
      </c>
      <c r="AI34" s="38">
        <v>53.2</v>
      </c>
      <c r="AJ34" s="39">
        <v>224</v>
      </c>
      <c r="AK34" s="38">
        <v>23.1</v>
      </c>
      <c r="AL34" s="39">
        <v>22.2</v>
      </c>
      <c r="AM34" s="39">
        <v>89</v>
      </c>
      <c r="AN34" s="19"/>
      <c r="AO34" s="19"/>
      <c r="AP34" s="84">
        <v>0</v>
      </c>
      <c r="AQ34" s="60">
        <v>176130</v>
      </c>
      <c r="AR34" s="60">
        <v>138331</v>
      </c>
      <c r="AS34" s="60">
        <v>69803</v>
      </c>
      <c r="AT34" s="60">
        <v>81613.789000000004</v>
      </c>
      <c r="AU34" s="24">
        <v>63174</v>
      </c>
      <c r="AV34" s="60">
        <v>7566.0312425252951</v>
      </c>
      <c r="AW34" s="24">
        <v>151790.08600000001</v>
      </c>
      <c r="AX34" s="24">
        <v>80316.089000000007</v>
      </c>
      <c r="AY34" s="60">
        <v>29119.584999999999</v>
      </c>
      <c r="AZ34" s="60">
        <v>35649.980000000003</v>
      </c>
    </row>
    <row r="35" spans="1:52">
      <c r="A35" s="1" t="s">
        <v>33</v>
      </c>
      <c r="B35" s="7" t="s">
        <v>259</v>
      </c>
      <c r="C35" s="7" t="s">
        <v>261</v>
      </c>
      <c r="D35" s="15">
        <v>13.700362532670097</v>
      </c>
      <c r="E35" s="15">
        <v>42.23</v>
      </c>
      <c r="F35" s="15" t="s">
        <v>280</v>
      </c>
      <c r="G35" s="12">
        <v>24617.305131321598</v>
      </c>
      <c r="H35" s="12">
        <v>12120</v>
      </c>
      <c r="I35" s="12">
        <v>12497</v>
      </c>
      <c r="J35" s="15">
        <v>7.1</v>
      </c>
      <c r="K35" s="15">
        <v>8.6</v>
      </c>
      <c r="L35" s="15">
        <v>8.6</v>
      </c>
      <c r="M35" s="15">
        <v>8.1999999999999993</v>
      </c>
      <c r="N35" s="15">
        <v>13.007271397814518</v>
      </c>
      <c r="O35" s="15">
        <v>17.833204695941831</v>
      </c>
      <c r="P35" s="15">
        <v>20.022748507129222</v>
      </c>
      <c r="Q35" s="15">
        <v>4.4000000000000004</v>
      </c>
      <c r="R35" s="15">
        <v>12.3</v>
      </c>
      <c r="S35" s="15">
        <v>29.1</v>
      </c>
      <c r="T35" s="15">
        <v>4.7</v>
      </c>
      <c r="U35" s="12">
        <v>334</v>
      </c>
      <c r="V35" s="12">
        <v>634</v>
      </c>
      <c r="W35" s="15">
        <v>73.8</v>
      </c>
      <c r="X35" s="15">
        <v>43.8</v>
      </c>
      <c r="Y35" s="24">
        <v>264</v>
      </c>
      <c r="Z35" s="19">
        <v>48</v>
      </c>
      <c r="AA35" s="19">
        <v>43.9</v>
      </c>
      <c r="AB35" s="19">
        <v>301</v>
      </c>
      <c r="AC35" s="49">
        <v>7</v>
      </c>
      <c r="AD35" s="27">
        <v>7</v>
      </c>
      <c r="AE35" s="27">
        <v>5</v>
      </c>
      <c r="AF35" s="31">
        <v>6.2</v>
      </c>
      <c r="AG35" s="15">
        <v>67.554006232504094</v>
      </c>
      <c r="AH35" s="38">
        <v>64.7</v>
      </c>
      <c r="AI35" s="38">
        <v>57.3</v>
      </c>
      <c r="AJ35" s="39">
        <v>402</v>
      </c>
      <c r="AK35" s="38">
        <v>52.4</v>
      </c>
      <c r="AL35" s="39">
        <v>30.5</v>
      </c>
      <c r="AM35" s="39">
        <v>169</v>
      </c>
      <c r="AN35" s="19"/>
      <c r="AO35" s="19"/>
      <c r="AP35" s="84">
        <v>0</v>
      </c>
      <c r="AQ35" s="60">
        <v>147321</v>
      </c>
      <c r="AR35" s="60">
        <v>97661</v>
      </c>
      <c r="AS35" s="60">
        <v>29710</v>
      </c>
      <c r="AT35" s="60">
        <v>30387</v>
      </c>
      <c r="AU35" s="24">
        <v>87210</v>
      </c>
      <c r="AV35" s="60">
        <v>9520.2540956365865</v>
      </c>
      <c r="AW35" s="24">
        <v>103469</v>
      </c>
      <c r="AX35" s="24">
        <v>36093</v>
      </c>
      <c r="AY35" s="60">
        <v>14817</v>
      </c>
      <c r="AZ35" s="60">
        <v>36832</v>
      </c>
    </row>
    <row r="36" spans="1:52">
      <c r="A36" s="1" t="s">
        <v>34</v>
      </c>
      <c r="B36" s="7" t="s">
        <v>259</v>
      </c>
      <c r="C36" s="7" t="s">
        <v>262</v>
      </c>
      <c r="D36" s="15">
        <v>8.1932756082075944</v>
      </c>
      <c r="E36" s="15">
        <v>17.11</v>
      </c>
      <c r="F36" s="15">
        <v>39.200000000000003</v>
      </c>
      <c r="G36" s="12">
        <v>981711.23465278896</v>
      </c>
      <c r="H36" s="12">
        <v>491084</v>
      </c>
      <c r="I36" s="12">
        <v>490627</v>
      </c>
      <c r="J36" s="15">
        <v>12</v>
      </c>
      <c r="K36" s="15">
        <v>10.9</v>
      </c>
      <c r="L36" s="15">
        <v>10.1</v>
      </c>
      <c r="M36" s="15">
        <v>9.4</v>
      </c>
      <c r="N36" s="15">
        <v>16.590116643289115</v>
      </c>
      <c r="O36" s="15">
        <v>16.728344696147847</v>
      </c>
      <c r="P36" s="15">
        <v>11.616758903587716</v>
      </c>
      <c r="Q36" s="15">
        <v>3.2</v>
      </c>
      <c r="R36" s="15">
        <v>9.5</v>
      </c>
      <c r="S36" s="15">
        <v>38.6</v>
      </c>
      <c r="T36" s="15">
        <v>4.2</v>
      </c>
      <c r="U36" s="12">
        <v>-7128</v>
      </c>
      <c r="V36" s="12">
        <v>12213</v>
      </c>
      <c r="W36" s="15">
        <v>1027.3</v>
      </c>
      <c r="X36" s="15">
        <v>786.6</v>
      </c>
      <c r="Y36" s="24">
        <v>4630</v>
      </c>
      <c r="Z36" s="19">
        <v>1074.4000000000001</v>
      </c>
      <c r="AA36" s="19">
        <v>726.4</v>
      </c>
      <c r="AB36" s="19">
        <v>3097</v>
      </c>
      <c r="AC36" s="49">
        <v>2</v>
      </c>
      <c r="AD36" s="27">
        <v>2</v>
      </c>
      <c r="AE36" s="27">
        <v>9</v>
      </c>
      <c r="AF36" s="31">
        <v>1.3</v>
      </c>
      <c r="AG36" s="15">
        <v>61.601619901648832</v>
      </c>
      <c r="AH36" s="38">
        <v>880.5</v>
      </c>
      <c r="AI36" s="38">
        <v>645.4</v>
      </c>
      <c r="AJ36" s="40">
        <v>3491</v>
      </c>
      <c r="AK36" s="38">
        <v>696.6</v>
      </c>
      <c r="AL36" s="39">
        <v>524.6</v>
      </c>
      <c r="AM36" s="40">
        <v>2469</v>
      </c>
      <c r="AN36" s="19"/>
      <c r="AO36" s="19"/>
      <c r="AP36" s="84">
        <v>0</v>
      </c>
      <c r="AQ36" s="60">
        <v>4087622</v>
      </c>
      <c r="AR36" s="60">
        <v>2494946</v>
      </c>
      <c r="AS36" s="60">
        <v>1223182</v>
      </c>
      <c r="AT36" s="60">
        <v>1605985.1</v>
      </c>
      <c r="AU36" s="24">
        <v>3517582</v>
      </c>
      <c r="AV36" s="60">
        <v>7746.6343783767707</v>
      </c>
      <c r="AW36" s="24">
        <v>3448948.21</v>
      </c>
      <c r="AX36" s="24">
        <v>1607531.15</v>
      </c>
      <c r="AY36" s="60">
        <v>1393995.76</v>
      </c>
      <c r="AZ36" s="60">
        <v>72027.61</v>
      </c>
    </row>
    <row r="37" spans="1:52">
      <c r="A37" s="1" t="s">
        <v>35</v>
      </c>
      <c r="B37" s="7" t="s">
        <v>259</v>
      </c>
      <c r="C37" s="7" t="s">
        <v>261</v>
      </c>
      <c r="D37" s="15">
        <v>15.425101214574898</v>
      </c>
      <c r="E37" s="15">
        <v>39.119999999999997</v>
      </c>
      <c r="F37" s="15" t="s">
        <v>280</v>
      </c>
      <c r="G37" s="12">
        <v>29449.515406462488</v>
      </c>
      <c r="H37" s="12">
        <v>14623</v>
      </c>
      <c r="I37" s="12">
        <v>14826</v>
      </c>
      <c r="J37" s="15">
        <v>9.1999999999999993</v>
      </c>
      <c r="K37" s="15">
        <v>9.4</v>
      </c>
      <c r="L37" s="15">
        <v>9.5</v>
      </c>
      <c r="M37" s="15">
        <v>7.9</v>
      </c>
      <c r="N37" s="15">
        <v>11.466893039049236</v>
      </c>
      <c r="O37" s="15">
        <v>20.736842105263158</v>
      </c>
      <c r="P37" s="15">
        <v>17.847198641765704</v>
      </c>
      <c r="Q37" s="15">
        <v>4.0999999999999996</v>
      </c>
      <c r="R37" s="15">
        <v>9.9</v>
      </c>
      <c r="S37" s="15">
        <v>33</v>
      </c>
      <c r="T37" s="15">
        <v>3.2</v>
      </c>
      <c r="U37" s="12">
        <v>1164</v>
      </c>
      <c r="V37" s="12">
        <v>735</v>
      </c>
      <c r="W37" s="15">
        <v>113.6</v>
      </c>
      <c r="X37" s="15">
        <v>41.1</v>
      </c>
      <c r="Y37" s="24">
        <v>241</v>
      </c>
      <c r="Z37" s="19">
        <v>61.7</v>
      </c>
      <c r="AA37" s="19">
        <v>60</v>
      </c>
      <c r="AB37" s="19">
        <v>358</v>
      </c>
      <c r="AC37" s="49">
        <v>7</v>
      </c>
      <c r="AD37" s="27">
        <v>7</v>
      </c>
      <c r="AE37" s="27">
        <v>6</v>
      </c>
      <c r="AF37" s="31">
        <v>0.3</v>
      </c>
      <c r="AG37" s="15">
        <v>73.766596063439579</v>
      </c>
      <c r="AH37" s="45">
        <v>14.7</v>
      </c>
      <c r="AI37" s="45">
        <v>13.7</v>
      </c>
      <c r="AJ37" s="45">
        <v>74</v>
      </c>
      <c r="AK37" s="45">
        <v>40.9</v>
      </c>
      <c r="AL37" s="45">
        <v>39.1</v>
      </c>
      <c r="AM37" s="45">
        <v>262</v>
      </c>
      <c r="AN37" s="19"/>
      <c r="AO37" s="19"/>
      <c r="AP37" s="84">
        <v>0</v>
      </c>
      <c r="AQ37" s="60">
        <v>103063</v>
      </c>
      <c r="AR37" s="60">
        <v>70104</v>
      </c>
      <c r="AS37" s="60">
        <v>56003</v>
      </c>
      <c r="AT37" s="60">
        <v>62076</v>
      </c>
      <c r="AU37" s="24">
        <v>103273</v>
      </c>
      <c r="AV37" s="60">
        <v>7004.6653451802622</v>
      </c>
      <c r="AW37" s="24">
        <v>70083.887000000002</v>
      </c>
      <c r="AX37" s="24">
        <v>61823</v>
      </c>
      <c r="AY37" s="60">
        <v>5803</v>
      </c>
      <c r="AZ37" s="60">
        <v>28.294</v>
      </c>
    </row>
    <row r="38" spans="1:52">
      <c r="A38" s="1" t="s">
        <v>36</v>
      </c>
      <c r="B38" s="7" t="s">
        <v>259</v>
      </c>
      <c r="C38" s="7" t="s">
        <v>261</v>
      </c>
      <c r="D38" s="15">
        <v>14.859786693311902</v>
      </c>
      <c r="E38" s="15">
        <v>50.88</v>
      </c>
      <c r="F38" s="15" t="s">
        <v>280</v>
      </c>
      <c r="G38" s="12">
        <v>101556.22780039557</v>
      </c>
      <c r="H38" s="12">
        <v>48861</v>
      </c>
      <c r="I38" s="12">
        <v>52695</v>
      </c>
      <c r="J38" s="15">
        <v>6.5</v>
      </c>
      <c r="K38" s="15">
        <v>8.1999999999999993</v>
      </c>
      <c r="L38" s="15">
        <v>8</v>
      </c>
      <c r="M38" s="15">
        <v>6.7</v>
      </c>
      <c r="N38" s="15">
        <v>9.4745756036078621</v>
      </c>
      <c r="O38" s="15">
        <v>18.088542282090671</v>
      </c>
      <c r="P38" s="15">
        <v>17.884713852455789</v>
      </c>
      <c r="Q38" s="15">
        <v>4.5999999999999996</v>
      </c>
      <c r="R38" s="15">
        <v>20.5</v>
      </c>
      <c r="S38" s="15">
        <v>26.9</v>
      </c>
      <c r="T38" s="15">
        <v>9.1999999999999993</v>
      </c>
      <c r="U38" s="12">
        <v>-372</v>
      </c>
      <c r="V38" s="12">
        <v>2070</v>
      </c>
      <c r="W38" s="15">
        <v>124.6</v>
      </c>
      <c r="X38" s="15">
        <v>118.5</v>
      </c>
      <c r="Y38" s="24">
        <v>613</v>
      </c>
      <c r="Z38" s="19">
        <v>101.4</v>
      </c>
      <c r="AA38" s="19">
        <v>46.7</v>
      </c>
      <c r="AB38" s="19">
        <v>246</v>
      </c>
      <c r="AC38" s="49">
        <v>8</v>
      </c>
      <c r="AD38" s="27">
        <v>8</v>
      </c>
      <c r="AE38" s="27">
        <v>8</v>
      </c>
      <c r="AF38" s="31">
        <v>4.8</v>
      </c>
      <c r="AG38" s="15">
        <v>69.885119346195722</v>
      </c>
      <c r="AH38" s="38">
        <v>80.3</v>
      </c>
      <c r="AI38" s="38">
        <v>61.1</v>
      </c>
      <c r="AJ38" s="39">
        <v>265</v>
      </c>
      <c r="AK38" s="38">
        <v>179.2</v>
      </c>
      <c r="AL38" s="39">
        <v>160.5</v>
      </c>
      <c r="AM38" s="39">
        <v>745</v>
      </c>
      <c r="AN38" s="42"/>
      <c r="AO38" s="19"/>
      <c r="AP38" s="84">
        <v>0</v>
      </c>
      <c r="AQ38" s="60">
        <v>669133</v>
      </c>
      <c r="AR38" s="60">
        <v>425349</v>
      </c>
      <c r="AS38" s="60">
        <v>223219</v>
      </c>
      <c r="AT38" s="60">
        <v>236402.55900000001</v>
      </c>
      <c r="AU38" s="24">
        <v>320407</v>
      </c>
      <c r="AV38" s="60">
        <v>9709.9805827581058</v>
      </c>
      <c r="AW38" s="24">
        <v>470143.87300000002</v>
      </c>
      <c r="AX38" s="24">
        <v>258214.84099999999</v>
      </c>
      <c r="AY38" s="60">
        <v>151683.58100000001</v>
      </c>
      <c r="AZ38" s="60">
        <v>33174.114999999998</v>
      </c>
    </row>
    <row r="39" spans="1:52">
      <c r="A39" s="1" t="s">
        <v>37</v>
      </c>
      <c r="B39" s="7" t="s">
        <v>259</v>
      </c>
      <c r="C39" s="7" t="s">
        <v>260</v>
      </c>
      <c r="D39" s="15">
        <v>15.215224286361575</v>
      </c>
      <c r="E39" s="15">
        <v>15.03</v>
      </c>
      <c r="F39" s="15">
        <v>99.8</v>
      </c>
      <c r="G39" s="12">
        <v>25284.674812562542</v>
      </c>
      <c r="H39" s="12">
        <v>12933</v>
      </c>
      <c r="I39" s="12">
        <v>12352</v>
      </c>
      <c r="J39" s="15">
        <v>10.8</v>
      </c>
      <c r="K39" s="15">
        <v>10.1</v>
      </c>
      <c r="L39" s="15">
        <v>9.8000000000000007</v>
      </c>
      <c r="M39" s="15">
        <v>9.9</v>
      </c>
      <c r="N39" s="15">
        <v>19.125964010282775</v>
      </c>
      <c r="O39" s="15">
        <v>18.180739568914376</v>
      </c>
      <c r="P39" s="15">
        <v>14.514534308878781</v>
      </c>
      <c r="Q39" s="15">
        <v>3</v>
      </c>
      <c r="R39" s="15">
        <v>4.5999999999999996</v>
      </c>
      <c r="S39" s="15">
        <v>36.4</v>
      </c>
      <c r="T39" s="15">
        <v>1.6</v>
      </c>
      <c r="U39" s="12">
        <v>28</v>
      </c>
      <c r="V39" s="12">
        <v>206</v>
      </c>
      <c r="W39" s="15">
        <v>42.3</v>
      </c>
      <c r="X39" s="15">
        <v>23.3</v>
      </c>
      <c r="Y39" s="24">
        <v>116</v>
      </c>
      <c r="Z39" s="19">
        <v>54.3</v>
      </c>
      <c r="AA39" s="19">
        <v>20.9</v>
      </c>
      <c r="AB39" s="19">
        <v>93</v>
      </c>
      <c r="AC39" s="49">
        <v>4</v>
      </c>
      <c r="AD39" s="27">
        <v>3</v>
      </c>
      <c r="AE39" s="27">
        <v>7</v>
      </c>
      <c r="AF39" s="31">
        <v>1.1000000000000001</v>
      </c>
      <c r="AG39" s="15">
        <v>66.879445559000544</v>
      </c>
      <c r="AH39" s="38">
        <v>53.5</v>
      </c>
      <c r="AI39" s="38">
        <v>25</v>
      </c>
      <c r="AJ39" s="39">
        <v>116</v>
      </c>
      <c r="AK39" s="38">
        <v>39</v>
      </c>
      <c r="AL39" s="39">
        <v>21.6</v>
      </c>
      <c r="AM39" s="39">
        <v>96</v>
      </c>
      <c r="AN39" s="42"/>
      <c r="AO39" s="19"/>
      <c r="AP39" s="84">
        <v>0</v>
      </c>
      <c r="AQ39" s="60">
        <v>69373</v>
      </c>
      <c r="AR39" s="60">
        <v>48976</v>
      </c>
      <c r="AS39" s="60">
        <v>22479</v>
      </c>
      <c r="AT39" s="60">
        <v>37411</v>
      </c>
      <c r="AU39" s="24">
        <v>134399</v>
      </c>
      <c r="AV39" s="60">
        <v>8054.2859067666441</v>
      </c>
      <c r="AW39" s="24">
        <v>58680</v>
      </c>
      <c r="AX39" s="24">
        <v>28547</v>
      </c>
      <c r="AY39" s="60">
        <v>3547.5</v>
      </c>
      <c r="AZ39" s="60">
        <v>23148.5</v>
      </c>
    </row>
    <row r="40" spans="1:52">
      <c r="A40" s="1" t="s">
        <v>38</v>
      </c>
      <c r="B40" s="7" t="s">
        <v>259</v>
      </c>
      <c r="C40" s="7" t="s">
        <v>261</v>
      </c>
      <c r="D40" s="15">
        <v>17.295473467420358</v>
      </c>
      <c r="E40" s="15">
        <v>24.06</v>
      </c>
      <c r="F40" s="15">
        <v>4.2</v>
      </c>
      <c r="G40" s="12">
        <v>47316.534406191255</v>
      </c>
      <c r="H40" s="12">
        <v>23061</v>
      </c>
      <c r="I40" s="12">
        <v>24255</v>
      </c>
      <c r="J40" s="15">
        <v>6.4</v>
      </c>
      <c r="K40" s="15">
        <v>7</v>
      </c>
      <c r="L40" s="15">
        <v>7</v>
      </c>
      <c r="M40" s="15">
        <v>7.3</v>
      </c>
      <c r="N40" s="15">
        <v>12.498679121668745</v>
      </c>
      <c r="O40" s="15">
        <v>17.243274087537248</v>
      </c>
      <c r="P40" s="15">
        <v>17.101675930426698</v>
      </c>
      <c r="Q40" s="15">
        <v>5.8</v>
      </c>
      <c r="R40" s="15">
        <v>19.7</v>
      </c>
      <c r="S40" s="15">
        <v>24.5</v>
      </c>
      <c r="T40" s="15">
        <v>7.9</v>
      </c>
      <c r="U40" s="12">
        <v>760</v>
      </c>
      <c r="V40" s="12">
        <v>1250</v>
      </c>
      <c r="W40" s="15">
        <v>94</v>
      </c>
      <c r="X40" s="15">
        <v>42.1</v>
      </c>
      <c r="Y40" s="24">
        <v>266</v>
      </c>
      <c r="Z40" s="19">
        <v>78.3</v>
      </c>
      <c r="AA40" s="19">
        <v>61.5</v>
      </c>
      <c r="AB40" s="19">
        <v>340</v>
      </c>
      <c r="AC40" s="49">
        <v>5</v>
      </c>
      <c r="AD40" s="27">
        <v>6</v>
      </c>
      <c r="AE40" s="27">
        <v>4</v>
      </c>
      <c r="AF40" s="31">
        <v>5.4</v>
      </c>
      <c r="AG40" s="15">
        <v>57.125876619517413</v>
      </c>
      <c r="AH40" s="38">
        <v>38.799999999999997</v>
      </c>
      <c r="AI40" s="38">
        <v>26.5</v>
      </c>
      <c r="AJ40" s="39">
        <v>199</v>
      </c>
      <c r="AK40" s="38">
        <v>24.2</v>
      </c>
      <c r="AL40" s="39">
        <v>15.3</v>
      </c>
      <c r="AM40" s="39">
        <v>96</v>
      </c>
      <c r="AN40" s="42"/>
      <c r="AO40" s="19"/>
      <c r="AP40" s="84">
        <v>0</v>
      </c>
      <c r="AQ40" s="60">
        <v>260994</v>
      </c>
      <c r="AR40" s="60">
        <v>183588</v>
      </c>
      <c r="AS40" s="60">
        <v>70776</v>
      </c>
      <c r="AT40" s="60">
        <v>78286</v>
      </c>
      <c r="AU40" s="24">
        <v>112312</v>
      </c>
      <c r="AV40" s="60">
        <v>7881.3887086203067</v>
      </c>
      <c r="AW40" s="24">
        <v>211909</v>
      </c>
      <c r="AX40" s="24">
        <v>90652</v>
      </c>
      <c r="AY40" s="60">
        <v>62907</v>
      </c>
      <c r="AZ40" s="60">
        <v>27697</v>
      </c>
    </row>
    <row r="41" spans="1:52">
      <c r="A41" s="1" t="s">
        <v>39</v>
      </c>
      <c r="B41" s="7" t="s">
        <v>259</v>
      </c>
      <c r="C41" s="7" t="s">
        <v>262</v>
      </c>
      <c r="D41" s="15">
        <v>14.464427550209919</v>
      </c>
      <c r="E41" s="15">
        <v>13.93</v>
      </c>
      <c r="F41" s="15">
        <v>29.4</v>
      </c>
      <c r="G41" s="12">
        <v>85351.369738558118</v>
      </c>
      <c r="H41" s="12">
        <v>42370</v>
      </c>
      <c r="I41" s="12">
        <v>42982</v>
      </c>
      <c r="J41" s="15">
        <v>12.3</v>
      </c>
      <c r="K41" s="15">
        <v>10.7</v>
      </c>
      <c r="L41" s="15">
        <v>8.6999999999999993</v>
      </c>
      <c r="M41" s="15">
        <v>7</v>
      </c>
      <c r="N41" s="15">
        <v>14.585652189195205</v>
      </c>
      <c r="O41" s="15">
        <v>17.362421061264659</v>
      </c>
      <c r="P41" s="15">
        <v>13.391758737448889</v>
      </c>
      <c r="Q41" s="15">
        <v>3.8</v>
      </c>
      <c r="R41" s="15">
        <v>12.1</v>
      </c>
      <c r="S41" s="15">
        <v>36.1</v>
      </c>
      <c r="T41" s="15">
        <v>5.2</v>
      </c>
      <c r="U41" s="12">
        <v>1437</v>
      </c>
      <c r="V41" s="12">
        <v>1658</v>
      </c>
      <c r="W41" s="15">
        <v>280.8</v>
      </c>
      <c r="X41" s="15">
        <v>265.7</v>
      </c>
      <c r="Y41" s="24">
        <v>1435</v>
      </c>
      <c r="Z41" s="19">
        <v>51.2</v>
      </c>
      <c r="AA41" s="19">
        <v>41.8</v>
      </c>
      <c r="AB41" s="19">
        <v>293</v>
      </c>
      <c r="AC41" s="49">
        <v>3</v>
      </c>
      <c r="AD41" s="27">
        <v>4</v>
      </c>
      <c r="AE41" s="27">
        <v>8</v>
      </c>
      <c r="AF41" s="31">
        <v>6.1</v>
      </c>
      <c r="AG41" s="15">
        <v>60.682991441380253</v>
      </c>
      <c r="AH41" s="38">
        <v>8.4</v>
      </c>
      <c r="AI41" s="38">
        <v>7.4</v>
      </c>
      <c r="AJ41" s="39">
        <v>36</v>
      </c>
      <c r="AK41" s="38">
        <v>25.9</v>
      </c>
      <c r="AL41" s="39">
        <v>15.3</v>
      </c>
      <c r="AM41" s="39">
        <v>122</v>
      </c>
      <c r="AN41" s="42"/>
      <c r="AO41" s="19"/>
      <c r="AP41" s="84">
        <v>0</v>
      </c>
      <c r="AQ41" s="60">
        <v>327126.91149999999</v>
      </c>
      <c r="AR41" s="60">
        <v>238778</v>
      </c>
      <c r="AS41" s="60">
        <v>81584</v>
      </c>
      <c r="AT41" s="60">
        <v>144746.4785</v>
      </c>
      <c r="AU41" s="24">
        <v>304467.98220000003</v>
      </c>
      <c r="AV41" s="60">
        <v>7377.5241539625413</v>
      </c>
      <c r="AW41" s="24">
        <v>286783.06530000002</v>
      </c>
      <c r="AX41" s="24">
        <v>111418.87450000001</v>
      </c>
      <c r="AY41" s="60">
        <v>104978.579</v>
      </c>
      <c r="AZ41" s="60">
        <v>42046.2284</v>
      </c>
    </row>
    <row r="42" spans="1:52">
      <c r="A42" s="1" t="s">
        <v>40</v>
      </c>
      <c r="B42" s="7" t="s">
        <v>259</v>
      </c>
      <c r="C42" s="7" t="s">
        <v>260</v>
      </c>
      <c r="D42" s="15">
        <v>16.405859830198104</v>
      </c>
      <c r="E42" s="15">
        <v>15.7</v>
      </c>
      <c r="F42" s="15">
        <v>99.9</v>
      </c>
      <c r="G42" s="12">
        <v>23997.966840013607</v>
      </c>
      <c r="H42" s="12">
        <v>12369</v>
      </c>
      <c r="I42" s="12">
        <v>11629</v>
      </c>
      <c r="J42" s="15">
        <v>8.6999999999999993</v>
      </c>
      <c r="K42" s="15">
        <v>8.1999999999999993</v>
      </c>
      <c r="L42" s="15">
        <v>8.4</v>
      </c>
      <c r="M42" s="15">
        <v>8.3000000000000007</v>
      </c>
      <c r="N42" s="15">
        <v>18.34319526627219</v>
      </c>
      <c r="O42" s="15">
        <v>22.318526543878654</v>
      </c>
      <c r="P42" s="15">
        <v>15.917993166097174</v>
      </c>
      <c r="Q42" s="15">
        <v>3.5</v>
      </c>
      <c r="R42" s="15">
        <v>6.4</v>
      </c>
      <c r="S42" s="15">
        <v>30.1</v>
      </c>
      <c r="T42" s="15">
        <v>2.2999999999999998</v>
      </c>
      <c r="U42" s="12">
        <v>19</v>
      </c>
      <c r="V42" s="12">
        <v>658</v>
      </c>
      <c r="W42" s="15">
        <v>23</v>
      </c>
      <c r="X42" s="15">
        <v>17.899999999999999</v>
      </c>
      <c r="Y42" s="24">
        <v>84</v>
      </c>
      <c r="Z42" s="19">
        <v>8.3000000000000007</v>
      </c>
      <c r="AA42" s="19">
        <v>7.8</v>
      </c>
      <c r="AB42" s="19">
        <v>34</v>
      </c>
      <c r="AC42" s="49">
        <v>3</v>
      </c>
      <c r="AD42" s="27">
        <v>3</v>
      </c>
      <c r="AE42" s="27">
        <v>3</v>
      </c>
      <c r="AF42" s="31">
        <v>0.1</v>
      </c>
      <c r="AG42" s="15">
        <v>44.032220131702729</v>
      </c>
      <c r="AH42" s="45">
        <v>16</v>
      </c>
      <c r="AI42" s="45">
        <v>16</v>
      </c>
      <c r="AJ42" s="45">
        <v>78</v>
      </c>
      <c r="AK42" s="45">
        <v>25.8</v>
      </c>
      <c r="AL42" s="45">
        <v>23.6</v>
      </c>
      <c r="AM42" s="45">
        <v>106</v>
      </c>
      <c r="AN42" s="19"/>
      <c r="AO42" s="19"/>
      <c r="AP42" s="84">
        <v>0</v>
      </c>
      <c r="AQ42" s="60">
        <v>49344</v>
      </c>
      <c r="AR42" s="60">
        <v>24875</v>
      </c>
      <c r="AS42" s="60">
        <v>15530</v>
      </c>
      <c r="AT42" s="60">
        <v>26858</v>
      </c>
      <c r="AU42" s="24">
        <v>132448</v>
      </c>
      <c r="AV42" s="60">
        <v>7786.8263276545995</v>
      </c>
      <c r="AW42" s="24">
        <v>39678.01</v>
      </c>
      <c r="AX42" s="24">
        <v>27025.42</v>
      </c>
      <c r="AY42" s="60">
        <v>5261.35</v>
      </c>
      <c r="AZ42" s="60">
        <v>11.72</v>
      </c>
    </row>
    <row r="43" spans="1:52">
      <c r="A43" s="1" t="s">
        <v>41</v>
      </c>
      <c r="B43" s="7" t="s">
        <v>259</v>
      </c>
      <c r="C43" s="7" t="s">
        <v>261</v>
      </c>
      <c r="D43" s="15">
        <v>15.378498727735368</v>
      </c>
      <c r="E43" s="15">
        <v>16.93</v>
      </c>
      <c r="F43" s="15" t="s">
        <v>280</v>
      </c>
      <c r="G43" s="12">
        <v>27088.052920582682</v>
      </c>
      <c r="H43" s="12">
        <v>13481</v>
      </c>
      <c r="I43" s="12">
        <v>13607</v>
      </c>
      <c r="J43" s="15">
        <v>8.4</v>
      </c>
      <c r="K43" s="15">
        <v>8.5</v>
      </c>
      <c r="L43" s="15">
        <v>8.1</v>
      </c>
      <c r="M43" s="15">
        <v>8.1999999999999993</v>
      </c>
      <c r="N43" s="15">
        <v>12.780567040756056</v>
      </c>
      <c r="O43" s="15">
        <v>18.037507383343176</v>
      </c>
      <c r="P43" s="15">
        <v>15.674837566450089</v>
      </c>
      <c r="Q43" s="15">
        <v>5.0999999999999996</v>
      </c>
      <c r="R43" s="15">
        <v>15.2</v>
      </c>
      <c r="S43" s="15">
        <v>29.7</v>
      </c>
      <c r="T43" s="15">
        <v>6</v>
      </c>
      <c r="U43" s="12">
        <v>769</v>
      </c>
      <c r="V43" s="12">
        <v>939</v>
      </c>
      <c r="W43" s="15">
        <v>79.099999999999994</v>
      </c>
      <c r="X43" s="15">
        <v>70.400000000000006</v>
      </c>
      <c r="Y43" s="24">
        <v>476</v>
      </c>
      <c r="Z43" s="19">
        <v>10.5</v>
      </c>
      <c r="AA43" s="19">
        <v>5.6</v>
      </c>
      <c r="AB43" s="19">
        <v>35</v>
      </c>
      <c r="AC43" s="49">
        <v>4</v>
      </c>
      <c r="AD43" s="27">
        <v>5</v>
      </c>
      <c r="AE43" s="27">
        <v>4</v>
      </c>
      <c r="AF43" s="31">
        <v>9.1999999999999993</v>
      </c>
      <c r="AG43" s="15">
        <v>63.973491897780399</v>
      </c>
      <c r="AH43" s="38">
        <v>12.4</v>
      </c>
      <c r="AI43" s="38">
        <v>9.6999999999999993</v>
      </c>
      <c r="AJ43" s="39">
        <v>67</v>
      </c>
      <c r="AK43" s="38">
        <v>11.6</v>
      </c>
      <c r="AL43" s="39">
        <v>9.1999999999999993</v>
      </c>
      <c r="AM43" s="39">
        <v>55</v>
      </c>
      <c r="AN43" s="19"/>
      <c r="AO43" s="19"/>
      <c r="AP43" s="84">
        <v>0</v>
      </c>
      <c r="AQ43" s="60">
        <v>130405</v>
      </c>
      <c r="AR43" s="60">
        <v>93158</v>
      </c>
      <c r="AS43" s="60">
        <v>29615</v>
      </c>
      <c r="AT43" s="60">
        <v>32617.360000000001</v>
      </c>
      <c r="AU43" s="24">
        <v>102969</v>
      </c>
      <c r="AV43" s="60">
        <v>8606.7463277454717</v>
      </c>
      <c r="AW43" s="24">
        <v>104040.54</v>
      </c>
      <c r="AX43" s="24">
        <v>41247.360000000001</v>
      </c>
      <c r="AY43" s="60">
        <v>12585</v>
      </c>
      <c r="AZ43" s="60">
        <v>38934.22</v>
      </c>
    </row>
    <row r="44" spans="1:52">
      <c r="A44" s="1" t="s">
        <v>43</v>
      </c>
      <c r="B44" s="7" t="s">
        <v>259</v>
      </c>
      <c r="C44" s="7" t="s">
        <v>261</v>
      </c>
      <c r="D44" s="15">
        <v>13.124824158304419</v>
      </c>
      <c r="E44" s="15">
        <v>58.03</v>
      </c>
      <c r="F44" s="15" t="s">
        <v>280</v>
      </c>
      <c r="G44" s="12">
        <v>83356.355587009661</v>
      </c>
      <c r="H44" s="12">
        <v>42030</v>
      </c>
      <c r="I44" s="12">
        <v>41326</v>
      </c>
      <c r="J44" s="15">
        <v>19.3</v>
      </c>
      <c r="K44" s="15">
        <v>18.899999999999999</v>
      </c>
      <c r="L44" s="15">
        <v>16.600000000000001</v>
      </c>
      <c r="M44" s="15">
        <v>10.9</v>
      </c>
      <c r="N44" s="15">
        <v>12.222275541052834</v>
      </c>
      <c r="O44" s="15">
        <v>14.939536446086665</v>
      </c>
      <c r="P44" s="15">
        <v>5.5400930946782472</v>
      </c>
      <c r="Q44" s="15">
        <v>0.5</v>
      </c>
      <c r="R44" s="15">
        <v>1.1000000000000001</v>
      </c>
      <c r="S44" s="15">
        <v>62.2</v>
      </c>
      <c r="T44" s="15">
        <v>0.4</v>
      </c>
      <c r="U44" s="12">
        <v>-772</v>
      </c>
      <c r="V44" s="12">
        <v>1163</v>
      </c>
      <c r="W44" s="15">
        <v>64.099999999999994</v>
      </c>
      <c r="X44" s="15">
        <v>53.3</v>
      </c>
      <c r="Y44" s="24">
        <v>274</v>
      </c>
      <c r="Z44" s="19">
        <v>56.4</v>
      </c>
      <c r="AA44" s="19">
        <v>33</v>
      </c>
      <c r="AB44" s="19">
        <v>130</v>
      </c>
      <c r="AC44" s="49">
        <v>1</v>
      </c>
      <c r="AD44" s="27">
        <v>9</v>
      </c>
      <c r="AE44" s="27">
        <v>6</v>
      </c>
      <c r="AF44" s="31">
        <v>1.5</v>
      </c>
      <c r="AG44" s="15">
        <v>82.033218959706062</v>
      </c>
      <c r="AH44" s="38">
        <v>213.1</v>
      </c>
      <c r="AI44" s="38">
        <v>103.3</v>
      </c>
      <c r="AJ44" s="39">
        <v>620</v>
      </c>
      <c r="AK44" s="38">
        <v>145</v>
      </c>
      <c r="AL44" s="39">
        <v>33</v>
      </c>
      <c r="AM44" s="39">
        <v>146</v>
      </c>
      <c r="AN44" s="19"/>
      <c r="AO44" s="19"/>
      <c r="AP44" s="84">
        <v>0</v>
      </c>
      <c r="AQ44" s="60">
        <v>456258</v>
      </c>
      <c r="AR44" s="60">
        <v>347707</v>
      </c>
      <c r="AS44" s="60">
        <v>194030</v>
      </c>
      <c r="AT44" s="60">
        <v>200067</v>
      </c>
      <c r="AU44" s="24">
        <v>338640</v>
      </c>
      <c r="AV44" s="60">
        <v>7993.3189453223085</v>
      </c>
      <c r="AW44" s="24">
        <v>366569.13130000001</v>
      </c>
      <c r="AX44" s="24">
        <v>208886.25599999999</v>
      </c>
      <c r="AY44" s="60">
        <v>116659.1991</v>
      </c>
      <c r="AZ44" s="60">
        <v>11132.9203</v>
      </c>
    </row>
    <row r="45" spans="1:52">
      <c r="A45" s="1" t="s">
        <v>42</v>
      </c>
      <c r="B45" s="7" t="s">
        <v>259</v>
      </c>
      <c r="C45" s="7" t="s">
        <v>261</v>
      </c>
      <c r="D45" s="15">
        <v>4.2726396917148364</v>
      </c>
      <c r="E45" s="15">
        <v>4.3499999999999996</v>
      </c>
      <c r="F45" s="15" t="s">
        <v>280</v>
      </c>
      <c r="G45" s="12">
        <v>99170.570500491449</v>
      </c>
      <c r="H45" s="12">
        <v>48983</v>
      </c>
      <c r="I45" s="12">
        <v>50187</v>
      </c>
      <c r="J45" s="15">
        <v>6.5</v>
      </c>
      <c r="K45" s="15">
        <v>8.6999999999999993</v>
      </c>
      <c r="L45" s="15">
        <v>10.6</v>
      </c>
      <c r="M45" s="15">
        <v>10.199999999999999</v>
      </c>
      <c r="N45" s="15">
        <v>12.615583184600338</v>
      </c>
      <c r="O45" s="15">
        <v>15.655786469834931</v>
      </c>
      <c r="P45" s="15">
        <v>21.491161730747901</v>
      </c>
      <c r="Q45" s="15">
        <v>4.0999999999999996</v>
      </c>
      <c r="R45" s="15">
        <v>10.1</v>
      </c>
      <c r="S45" s="15">
        <v>32.200000000000003</v>
      </c>
      <c r="T45" s="15">
        <v>4</v>
      </c>
      <c r="U45" s="12">
        <v>1396</v>
      </c>
      <c r="V45" s="12">
        <v>1868</v>
      </c>
      <c r="W45" s="15">
        <v>166.2</v>
      </c>
      <c r="X45" s="15">
        <v>54.4</v>
      </c>
      <c r="Y45" s="24">
        <v>282</v>
      </c>
      <c r="Z45" s="19">
        <v>177.5</v>
      </c>
      <c r="AA45" s="19">
        <v>150</v>
      </c>
      <c r="AB45" s="19">
        <v>632</v>
      </c>
      <c r="AC45" s="49">
        <v>8</v>
      </c>
      <c r="AD45" s="27">
        <v>1</v>
      </c>
      <c r="AE45" s="27">
        <v>6</v>
      </c>
      <c r="AF45" s="31">
        <v>1.3</v>
      </c>
      <c r="AG45" s="15">
        <v>74.690805062705891</v>
      </c>
      <c r="AH45" s="38">
        <v>87.9</v>
      </c>
      <c r="AI45" s="38">
        <v>55.4</v>
      </c>
      <c r="AJ45" s="39">
        <v>353</v>
      </c>
      <c r="AK45" s="38">
        <v>46</v>
      </c>
      <c r="AL45" s="39">
        <v>24</v>
      </c>
      <c r="AM45" s="39">
        <v>140</v>
      </c>
      <c r="AN45" s="19"/>
      <c r="AO45" s="19"/>
      <c r="AP45" s="84">
        <v>0</v>
      </c>
      <c r="AQ45" s="60">
        <v>134226</v>
      </c>
      <c r="AR45" s="60">
        <v>30843</v>
      </c>
      <c r="AS45" s="60">
        <v>21381</v>
      </c>
      <c r="AT45" s="60">
        <v>23343.853999999999</v>
      </c>
      <c r="AU45" s="24">
        <v>254450</v>
      </c>
      <c r="AV45" s="60">
        <v>4667.2265991032464</v>
      </c>
      <c r="AW45" s="24">
        <v>62819.012999999999</v>
      </c>
      <c r="AX45" s="24">
        <v>52278.33</v>
      </c>
      <c r="AY45" s="60">
        <v>7730.99</v>
      </c>
      <c r="AZ45" s="60">
        <v>592.17200000000003</v>
      </c>
    </row>
    <row r="46" spans="1:52">
      <c r="A46" s="1" t="s">
        <v>44</v>
      </c>
      <c r="B46" s="7" t="s">
        <v>259</v>
      </c>
      <c r="C46" s="7" t="s">
        <v>261</v>
      </c>
      <c r="D46" s="15">
        <v>16.218938885157826</v>
      </c>
      <c r="E46" s="15">
        <v>28.08</v>
      </c>
      <c r="F46" s="15" t="s">
        <v>280</v>
      </c>
      <c r="G46" s="12">
        <v>38046.077475845625</v>
      </c>
      <c r="H46" s="12">
        <v>18519</v>
      </c>
      <c r="I46" s="12">
        <v>19527</v>
      </c>
      <c r="J46" s="15">
        <v>8.3000000000000007</v>
      </c>
      <c r="K46" s="15">
        <v>8.4</v>
      </c>
      <c r="L46" s="15">
        <v>8.5</v>
      </c>
      <c r="M46" s="15">
        <v>9.6</v>
      </c>
      <c r="N46" s="15">
        <v>15.454975555906008</v>
      </c>
      <c r="O46" s="15">
        <v>16.054250118277874</v>
      </c>
      <c r="P46" s="15">
        <v>16.330231824633337</v>
      </c>
      <c r="Q46" s="15">
        <v>5.0999999999999996</v>
      </c>
      <c r="R46" s="15">
        <v>12.2</v>
      </c>
      <c r="S46" s="15">
        <v>31</v>
      </c>
      <c r="T46" s="15">
        <v>4.7</v>
      </c>
      <c r="U46" s="12">
        <v>-535</v>
      </c>
      <c r="V46" s="12">
        <v>860</v>
      </c>
      <c r="W46" s="15">
        <v>60.8</v>
      </c>
      <c r="X46" s="15">
        <v>22.1</v>
      </c>
      <c r="Y46" s="24">
        <v>140</v>
      </c>
      <c r="Z46" s="19">
        <v>21.1</v>
      </c>
      <c r="AA46" s="19">
        <v>4.3</v>
      </c>
      <c r="AB46" s="19">
        <v>22</v>
      </c>
      <c r="AC46" s="49">
        <v>6</v>
      </c>
      <c r="AD46" s="27">
        <v>6</v>
      </c>
      <c r="AE46" s="27">
        <v>5</v>
      </c>
      <c r="AF46" s="31">
        <v>2.7</v>
      </c>
      <c r="AG46" s="15">
        <v>70.037666121810815</v>
      </c>
      <c r="AH46" s="38">
        <v>34.799999999999997</v>
      </c>
      <c r="AI46" s="38">
        <v>26.2</v>
      </c>
      <c r="AJ46" s="39">
        <v>194</v>
      </c>
      <c r="AK46" s="38">
        <v>13.6</v>
      </c>
      <c r="AL46" s="39">
        <v>11.4</v>
      </c>
      <c r="AM46" s="39">
        <v>76</v>
      </c>
      <c r="AN46" s="19"/>
      <c r="AO46" s="19"/>
      <c r="AP46" s="84">
        <v>0</v>
      </c>
      <c r="AQ46" s="60">
        <v>227071</v>
      </c>
      <c r="AR46" s="60">
        <v>126972</v>
      </c>
      <c r="AS46" s="60">
        <v>55267</v>
      </c>
      <c r="AT46" s="60">
        <v>67913</v>
      </c>
      <c r="AU46" s="24">
        <v>122081</v>
      </c>
      <c r="AV46" s="60">
        <v>9175.0325699572368</v>
      </c>
      <c r="AW46" s="24">
        <v>140187.53477</v>
      </c>
      <c r="AX46" s="24">
        <v>64876.290999999997</v>
      </c>
      <c r="AY46" s="60">
        <v>31695.763999999999</v>
      </c>
      <c r="AZ46" s="60">
        <v>22999.673999999999</v>
      </c>
    </row>
    <row r="47" spans="1:52">
      <c r="A47" s="1" t="s">
        <v>45</v>
      </c>
      <c r="B47" s="7" t="s">
        <v>259</v>
      </c>
      <c r="C47" s="7" t="s">
        <v>262</v>
      </c>
      <c r="D47" s="15">
        <v>16.861641305303895</v>
      </c>
      <c r="E47" s="15">
        <v>22.34</v>
      </c>
      <c r="F47" s="15">
        <v>22.6</v>
      </c>
      <c r="G47" s="12">
        <v>22521.138214929822</v>
      </c>
      <c r="H47" s="12">
        <v>11312</v>
      </c>
      <c r="I47" s="12">
        <v>11209</v>
      </c>
      <c r="J47" s="15">
        <v>7</v>
      </c>
      <c r="K47" s="15">
        <v>7.5</v>
      </c>
      <c r="L47" s="15">
        <v>7.9</v>
      </c>
      <c r="M47" s="15">
        <v>6.7</v>
      </c>
      <c r="N47" s="15">
        <v>13.796012610452465</v>
      </c>
      <c r="O47" s="15">
        <v>17.850006660450248</v>
      </c>
      <c r="P47" s="15">
        <v>18.080902268993384</v>
      </c>
      <c r="Q47" s="15">
        <v>5.8</v>
      </c>
      <c r="R47" s="15">
        <v>15.4</v>
      </c>
      <c r="S47" s="15">
        <v>26.3</v>
      </c>
      <c r="T47" s="15">
        <v>6</v>
      </c>
      <c r="U47" s="12">
        <v>71</v>
      </c>
      <c r="V47" s="12">
        <v>696</v>
      </c>
      <c r="W47" s="15">
        <v>8.6</v>
      </c>
      <c r="X47" s="15">
        <v>7</v>
      </c>
      <c r="Y47" s="24">
        <v>28</v>
      </c>
      <c r="Z47" s="19">
        <v>36.5</v>
      </c>
      <c r="AA47" s="19">
        <v>35.4</v>
      </c>
      <c r="AB47" s="19">
        <v>209</v>
      </c>
      <c r="AC47" s="49">
        <v>5</v>
      </c>
      <c r="AD47" s="27">
        <v>5</v>
      </c>
      <c r="AE47" s="27">
        <v>3</v>
      </c>
      <c r="AF47" s="31">
        <v>4.3</v>
      </c>
      <c r="AG47" s="15">
        <v>60.70730031188878</v>
      </c>
      <c r="AH47" s="38">
        <v>9.1</v>
      </c>
      <c r="AI47" s="38">
        <v>6</v>
      </c>
      <c r="AJ47" s="39">
        <v>23</v>
      </c>
      <c r="AK47" s="38">
        <v>9.4</v>
      </c>
      <c r="AL47" s="39">
        <v>8.1999999999999993</v>
      </c>
      <c r="AM47" s="39">
        <v>38</v>
      </c>
      <c r="AN47" s="19"/>
      <c r="AO47" s="19"/>
      <c r="AP47" s="84">
        <v>0</v>
      </c>
      <c r="AQ47" s="60">
        <v>84178</v>
      </c>
      <c r="AR47" s="60">
        <v>52871</v>
      </c>
      <c r="AS47" s="60">
        <v>28503</v>
      </c>
      <c r="AT47" s="60">
        <v>34611</v>
      </c>
      <c r="AU47" s="24">
        <v>89480</v>
      </c>
      <c r="AV47" s="60">
        <v>7706.7152798227626</v>
      </c>
      <c r="AW47" s="24">
        <v>64231</v>
      </c>
      <c r="AX47" s="24">
        <v>37347</v>
      </c>
      <c r="AY47" s="60">
        <v>12258</v>
      </c>
      <c r="AZ47" s="60">
        <v>7987</v>
      </c>
    </row>
    <row r="48" spans="1:52">
      <c r="A48" s="1" t="s">
        <v>46</v>
      </c>
      <c r="B48" s="7" t="s">
        <v>259</v>
      </c>
      <c r="C48" s="7" t="s">
        <v>261</v>
      </c>
      <c r="D48" s="15">
        <v>15.310141122415491</v>
      </c>
      <c r="E48" s="15">
        <v>24.1</v>
      </c>
      <c r="F48" s="15" t="s">
        <v>280</v>
      </c>
      <c r="G48" s="12">
        <v>63947.022174626632</v>
      </c>
      <c r="H48" s="12">
        <v>31045</v>
      </c>
      <c r="I48" s="12">
        <v>32902</v>
      </c>
      <c r="J48" s="15">
        <v>6.7</v>
      </c>
      <c r="K48" s="15">
        <v>7.2</v>
      </c>
      <c r="L48" s="15">
        <v>7.1</v>
      </c>
      <c r="M48" s="15">
        <v>6.4</v>
      </c>
      <c r="N48" s="15">
        <v>11.562700361236649</v>
      </c>
      <c r="O48" s="15">
        <v>18.157223951084493</v>
      </c>
      <c r="P48" s="15">
        <v>18.7311367225984</v>
      </c>
      <c r="Q48" s="15">
        <v>5.6</v>
      </c>
      <c r="R48" s="15">
        <v>18.5</v>
      </c>
      <c r="S48" s="15">
        <v>24.8</v>
      </c>
      <c r="T48" s="15">
        <v>7.5</v>
      </c>
      <c r="U48" s="12">
        <v>2970</v>
      </c>
      <c r="V48" s="12">
        <v>1721</v>
      </c>
      <c r="W48" s="15">
        <v>119.2</v>
      </c>
      <c r="X48" s="15">
        <v>96.2</v>
      </c>
      <c r="Y48" s="24">
        <v>650</v>
      </c>
      <c r="Z48" s="19">
        <v>169.3</v>
      </c>
      <c r="AA48" s="19">
        <v>168.6</v>
      </c>
      <c r="AB48" s="19">
        <v>1050</v>
      </c>
      <c r="AC48" s="49">
        <v>6</v>
      </c>
      <c r="AD48" s="27">
        <v>6</v>
      </c>
      <c r="AE48" s="27">
        <v>4</v>
      </c>
      <c r="AF48" s="31">
        <v>4.3</v>
      </c>
      <c r="AG48" s="15">
        <v>60.801292524416375</v>
      </c>
      <c r="AH48" s="38">
        <v>78.400000000000006</v>
      </c>
      <c r="AI48" s="38">
        <v>76.599999999999994</v>
      </c>
      <c r="AJ48" s="39">
        <v>555</v>
      </c>
      <c r="AK48" s="38">
        <v>46.1</v>
      </c>
      <c r="AL48" s="39">
        <v>38.4</v>
      </c>
      <c r="AM48" s="39">
        <v>255</v>
      </c>
      <c r="AN48" s="42"/>
      <c r="AO48" s="19"/>
      <c r="AP48" s="84">
        <v>63150</v>
      </c>
      <c r="AQ48" s="60">
        <v>326539</v>
      </c>
      <c r="AR48" s="60">
        <v>194231</v>
      </c>
      <c r="AS48" s="60">
        <v>116271</v>
      </c>
      <c r="AT48" s="60">
        <v>143913.524</v>
      </c>
      <c r="AU48" s="24">
        <v>185644</v>
      </c>
      <c r="AV48" s="60">
        <v>8989.7383873505823</v>
      </c>
      <c r="AW48" s="24">
        <v>233904.85399999999</v>
      </c>
      <c r="AX48" s="24">
        <v>141022.78400000001</v>
      </c>
      <c r="AY48" s="60">
        <v>63025.161</v>
      </c>
      <c r="AZ48" s="60">
        <v>11218.199000000001</v>
      </c>
    </row>
    <row r="49" spans="1:52">
      <c r="A49" s="1" t="s">
        <v>47</v>
      </c>
      <c r="B49" s="7" t="s">
        <v>259</v>
      </c>
      <c r="C49" s="7" t="s">
        <v>262</v>
      </c>
      <c r="D49" s="15">
        <v>19.418141896528063</v>
      </c>
      <c r="E49" s="15">
        <v>20.11</v>
      </c>
      <c r="F49" s="15">
        <v>32.299999999999997</v>
      </c>
      <c r="G49" s="12">
        <v>44184.015392173533</v>
      </c>
      <c r="H49" s="12">
        <v>21210</v>
      </c>
      <c r="I49" s="12">
        <v>22974</v>
      </c>
      <c r="J49" s="15">
        <v>8.1</v>
      </c>
      <c r="K49" s="15">
        <v>8.1</v>
      </c>
      <c r="L49" s="15">
        <v>6.6</v>
      </c>
      <c r="M49" s="15">
        <v>6</v>
      </c>
      <c r="N49" s="15">
        <v>13.111080934274852</v>
      </c>
      <c r="O49" s="15">
        <v>18.32563824008691</v>
      </c>
      <c r="P49" s="15">
        <v>16.680246242983884</v>
      </c>
      <c r="Q49" s="15">
        <v>5.4</v>
      </c>
      <c r="R49" s="15">
        <v>17.8</v>
      </c>
      <c r="S49" s="15">
        <v>26.2</v>
      </c>
      <c r="T49" s="15">
        <v>7.9</v>
      </c>
      <c r="U49" s="12">
        <v>1572</v>
      </c>
      <c r="V49" s="12">
        <v>1439</v>
      </c>
      <c r="W49" s="15">
        <v>117.4</v>
      </c>
      <c r="X49" s="15">
        <v>103.8</v>
      </c>
      <c r="Y49" s="24">
        <v>589</v>
      </c>
      <c r="Z49" s="19">
        <v>95.6</v>
      </c>
      <c r="AA49" s="19">
        <v>18.2</v>
      </c>
      <c r="AB49" s="19">
        <v>134</v>
      </c>
      <c r="AC49" s="49">
        <v>5</v>
      </c>
      <c r="AD49" s="27">
        <v>5</v>
      </c>
      <c r="AE49" s="27">
        <v>5</v>
      </c>
      <c r="AF49" s="31">
        <v>3.2</v>
      </c>
      <c r="AG49" s="15">
        <v>52.798576617985027</v>
      </c>
      <c r="AH49" s="43"/>
      <c r="AI49" s="43"/>
      <c r="AJ49" s="43"/>
      <c r="AK49" s="43"/>
      <c r="AL49" s="43"/>
      <c r="AM49" s="43"/>
      <c r="AN49" s="19"/>
      <c r="AO49" s="19"/>
      <c r="AP49" s="84">
        <v>0</v>
      </c>
      <c r="AQ49" s="60">
        <v>233621</v>
      </c>
      <c r="AR49" s="60">
        <v>136287</v>
      </c>
      <c r="AS49" s="60">
        <v>47601</v>
      </c>
      <c r="AT49" s="60">
        <v>61531</v>
      </c>
      <c r="AU49" s="24">
        <v>122583</v>
      </c>
      <c r="AV49" s="60">
        <v>8058.3667382812955</v>
      </c>
      <c r="AW49" s="24">
        <v>174395</v>
      </c>
      <c r="AX49" s="24">
        <v>67912</v>
      </c>
      <c r="AY49" s="60">
        <v>58382</v>
      </c>
      <c r="AZ49" s="60">
        <v>29013</v>
      </c>
    </row>
    <row r="50" spans="1:52">
      <c r="A50" s="1" t="s">
        <v>48</v>
      </c>
      <c r="B50" s="7" t="s">
        <v>259</v>
      </c>
      <c r="C50" s="7" t="s">
        <v>261</v>
      </c>
      <c r="D50" s="15">
        <v>12.712366203598268</v>
      </c>
      <c r="E50" s="15">
        <v>54.57</v>
      </c>
      <c r="F50" s="15" t="s">
        <v>280</v>
      </c>
      <c r="G50" s="12">
        <v>50340.883918628562</v>
      </c>
      <c r="H50" s="12">
        <v>24809</v>
      </c>
      <c r="I50" s="12">
        <v>25532</v>
      </c>
      <c r="J50" s="15">
        <v>6.1</v>
      </c>
      <c r="K50" s="15">
        <v>8.6999999999999993</v>
      </c>
      <c r="L50" s="15">
        <v>10</v>
      </c>
      <c r="M50" s="15">
        <v>9</v>
      </c>
      <c r="N50" s="15">
        <v>10.518265429768975</v>
      </c>
      <c r="O50" s="15">
        <v>16.910669235811763</v>
      </c>
      <c r="P50" s="15">
        <v>20.676982976102977</v>
      </c>
      <c r="Q50" s="15">
        <v>3.9</v>
      </c>
      <c r="R50" s="15">
        <v>14.3</v>
      </c>
      <c r="S50" s="15">
        <v>30.4</v>
      </c>
      <c r="T50" s="15">
        <v>5.6</v>
      </c>
      <c r="U50" s="12">
        <v>-284</v>
      </c>
      <c r="V50" s="12">
        <v>968</v>
      </c>
      <c r="W50" s="15">
        <v>142.5</v>
      </c>
      <c r="X50" s="15">
        <v>65.7</v>
      </c>
      <c r="Y50" s="24">
        <v>342</v>
      </c>
      <c r="Z50" s="19">
        <v>52.2</v>
      </c>
      <c r="AA50" s="19">
        <v>23.4</v>
      </c>
      <c r="AB50" s="19">
        <v>90</v>
      </c>
      <c r="AC50" s="49">
        <v>8</v>
      </c>
      <c r="AD50" s="27">
        <v>8</v>
      </c>
      <c r="AE50" s="27">
        <v>8</v>
      </c>
      <c r="AF50" s="31">
        <v>1.6</v>
      </c>
      <c r="AG50" s="15">
        <v>74.702988809941601</v>
      </c>
      <c r="AH50" s="38">
        <v>39.5</v>
      </c>
      <c r="AI50" s="38">
        <v>39.5</v>
      </c>
      <c r="AJ50" s="39">
        <v>163</v>
      </c>
      <c r="AK50" s="38">
        <v>130.80000000000001</v>
      </c>
      <c r="AL50" s="39">
        <v>89.4</v>
      </c>
      <c r="AM50" s="39">
        <v>395</v>
      </c>
      <c r="AN50" s="19"/>
      <c r="AO50" s="19"/>
      <c r="AP50" s="84">
        <v>0</v>
      </c>
      <c r="AQ50" s="60">
        <v>286559</v>
      </c>
      <c r="AR50" s="60">
        <v>186871</v>
      </c>
      <c r="AS50" s="60">
        <v>101722</v>
      </c>
      <c r="AT50" s="60">
        <v>108255</v>
      </c>
      <c r="AU50" s="24">
        <v>170759</v>
      </c>
      <c r="AV50" s="60">
        <v>9001.2523564831499</v>
      </c>
      <c r="AW50" s="24">
        <v>210705</v>
      </c>
      <c r="AX50" s="24">
        <v>112448</v>
      </c>
      <c r="AY50" s="60">
        <v>49796</v>
      </c>
      <c r="AZ50" s="60">
        <v>34880</v>
      </c>
    </row>
    <row r="51" spans="1:52">
      <c r="A51" s="1" t="s">
        <v>49</v>
      </c>
      <c r="B51" s="7" t="s">
        <v>259</v>
      </c>
      <c r="C51" s="7" t="s">
        <v>260</v>
      </c>
      <c r="D51" s="15">
        <v>13.537562299402447</v>
      </c>
      <c r="E51" s="15">
        <v>16.600000000000001</v>
      </c>
      <c r="F51" s="15">
        <v>99.7</v>
      </c>
      <c r="G51" s="12">
        <v>78006.687378559087</v>
      </c>
      <c r="H51" s="12">
        <v>38918</v>
      </c>
      <c r="I51" s="12">
        <v>39088</v>
      </c>
      <c r="J51" s="15">
        <v>7.7</v>
      </c>
      <c r="K51" s="15">
        <v>8.1999999999999993</v>
      </c>
      <c r="L51" s="15">
        <v>8.1999999999999993</v>
      </c>
      <c r="M51" s="15">
        <v>8.5</v>
      </c>
      <c r="N51" s="15">
        <v>17.608676144448577</v>
      </c>
      <c r="O51" s="15">
        <v>18.814978142987169</v>
      </c>
      <c r="P51" s="15">
        <v>16.885664107067313</v>
      </c>
      <c r="Q51" s="15">
        <v>4.5</v>
      </c>
      <c r="R51" s="15">
        <v>9.5</v>
      </c>
      <c r="S51" s="15">
        <v>29</v>
      </c>
      <c r="T51" s="15">
        <v>3.8</v>
      </c>
      <c r="U51" s="12">
        <v>-696</v>
      </c>
      <c r="V51" s="12">
        <v>1509</v>
      </c>
      <c r="W51" s="15">
        <v>47.1</v>
      </c>
      <c r="X51" s="15">
        <v>28.2</v>
      </c>
      <c r="Y51" s="24">
        <v>159</v>
      </c>
      <c r="Z51" s="19">
        <v>23.9</v>
      </c>
      <c r="AA51" s="19">
        <v>14.8</v>
      </c>
      <c r="AB51" s="19">
        <v>63</v>
      </c>
      <c r="AC51" s="49">
        <v>3</v>
      </c>
      <c r="AD51" s="27">
        <v>3</v>
      </c>
      <c r="AE51" s="27">
        <v>5</v>
      </c>
      <c r="AF51" s="31">
        <v>0.6</v>
      </c>
      <c r="AG51" s="15">
        <v>48.285421462054131</v>
      </c>
      <c r="AH51" s="38">
        <v>48.2</v>
      </c>
      <c r="AI51" s="38">
        <v>37.5</v>
      </c>
      <c r="AJ51" s="39">
        <v>161</v>
      </c>
      <c r="AK51" s="38">
        <v>63.7</v>
      </c>
      <c r="AL51" s="39">
        <v>40.799999999999997</v>
      </c>
      <c r="AM51" s="39">
        <v>212</v>
      </c>
      <c r="AN51" s="19"/>
      <c r="AO51" s="19"/>
      <c r="AP51" s="84">
        <v>0</v>
      </c>
      <c r="AQ51" s="60">
        <v>158141</v>
      </c>
      <c r="AR51" s="60">
        <v>95659</v>
      </c>
      <c r="AS51" s="60">
        <v>61007</v>
      </c>
      <c r="AT51" s="60">
        <v>134820.92499999999</v>
      </c>
      <c r="AU51" s="24">
        <v>274907</v>
      </c>
      <c r="AV51" s="60">
        <v>5853.5237855197638</v>
      </c>
      <c r="AW51" s="24">
        <v>135795.402</v>
      </c>
      <c r="AX51" s="24">
        <v>86602.925000000003</v>
      </c>
      <c r="AY51" s="60">
        <v>26892.626</v>
      </c>
      <c r="AZ51" s="60">
        <v>6917.9229999999998</v>
      </c>
    </row>
    <row r="52" spans="1:52">
      <c r="A52" s="1" t="s">
        <v>50</v>
      </c>
      <c r="B52" s="7" t="s">
        <v>259</v>
      </c>
      <c r="C52" s="7" t="s">
        <v>261</v>
      </c>
      <c r="D52" s="15">
        <v>16.549789621318372</v>
      </c>
      <c r="E52" s="15">
        <v>31.55</v>
      </c>
      <c r="F52" s="15" t="s">
        <v>280</v>
      </c>
      <c r="G52" s="12">
        <v>23760.611315266106</v>
      </c>
      <c r="H52" s="12">
        <v>11471</v>
      </c>
      <c r="I52" s="12">
        <v>12289</v>
      </c>
      <c r="J52" s="15">
        <v>6.1</v>
      </c>
      <c r="K52" s="15">
        <v>6.1</v>
      </c>
      <c r="L52" s="15">
        <v>6.1</v>
      </c>
      <c r="M52" s="15">
        <v>5.7</v>
      </c>
      <c r="N52" s="15">
        <v>12.895080173393374</v>
      </c>
      <c r="O52" s="15">
        <v>19.34682883717015</v>
      </c>
      <c r="P52" s="15">
        <v>17.617103657253484</v>
      </c>
      <c r="Q52" s="15">
        <v>6.3</v>
      </c>
      <c r="R52" s="15">
        <v>19.899999999999999</v>
      </c>
      <c r="S52" s="15">
        <v>21.7</v>
      </c>
      <c r="T52" s="15">
        <v>8.4</v>
      </c>
      <c r="U52" s="12">
        <v>-23</v>
      </c>
      <c r="V52" s="12">
        <v>493</v>
      </c>
      <c r="W52" s="15">
        <v>46.5</v>
      </c>
      <c r="X52" s="15">
        <v>43.4</v>
      </c>
      <c r="Y52" s="24">
        <v>282</v>
      </c>
      <c r="Z52" s="24">
        <v>3.1</v>
      </c>
      <c r="AA52" s="24">
        <v>1</v>
      </c>
      <c r="AB52" s="24">
        <v>1</v>
      </c>
      <c r="AC52" s="49">
        <v>7</v>
      </c>
      <c r="AD52" s="27">
        <v>7</v>
      </c>
      <c r="AE52" s="27">
        <v>5</v>
      </c>
      <c r="AF52" s="31">
        <v>4.0999999999999996</v>
      </c>
      <c r="AG52" s="15">
        <v>62.16656485440847</v>
      </c>
      <c r="AH52" s="38">
        <v>31.3</v>
      </c>
      <c r="AI52" s="38">
        <v>31.1</v>
      </c>
      <c r="AJ52" s="39">
        <v>292</v>
      </c>
      <c r="AK52" s="38">
        <v>2.9</v>
      </c>
      <c r="AL52" s="39">
        <v>1.1000000000000001</v>
      </c>
      <c r="AM52" s="39" t="s">
        <v>280</v>
      </c>
      <c r="AN52" s="19"/>
      <c r="AO52" s="19"/>
      <c r="AP52" s="84">
        <v>0</v>
      </c>
      <c r="AQ52" s="60">
        <v>163720</v>
      </c>
      <c r="AR52" s="60">
        <v>98634</v>
      </c>
      <c r="AS52" s="60">
        <v>33643</v>
      </c>
      <c r="AT52" s="60">
        <v>48032.518900000003</v>
      </c>
      <c r="AU52" s="24">
        <v>66871</v>
      </c>
      <c r="AV52" s="60">
        <v>9600.8893446875154</v>
      </c>
      <c r="AW52" s="24">
        <v>113952.55560000001</v>
      </c>
      <c r="AX52" s="24">
        <v>41824.275600000001</v>
      </c>
      <c r="AY52" s="60">
        <v>34624.001499999998</v>
      </c>
      <c r="AZ52" s="60">
        <v>9115.2101000000002</v>
      </c>
    </row>
    <row r="53" spans="1:52">
      <c r="A53" s="1" t="s">
        <v>51</v>
      </c>
      <c r="B53" s="7" t="s">
        <v>259</v>
      </c>
      <c r="C53" s="7" t="s">
        <v>261</v>
      </c>
      <c r="D53" s="15">
        <v>16.304539833951598</v>
      </c>
      <c r="E53" s="15">
        <v>17.66</v>
      </c>
      <c r="F53" s="15" t="s">
        <v>280</v>
      </c>
      <c r="G53" s="12">
        <v>46373.548355075305</v>
      </c>
      <c r="H53" s="12">
        <v>23193</v>
      </c>
      <c r="I53" s="12">
        <v>23181</v>
      </c>
      <c r="J53" s="15">
        <v>14.8</v>
      </c>
      <c r="K53" s="15">
        <v>12.5</v>
      </c>
      <c r="L53" s="15">
        <v>10</v>
      </c>
      <c r="M53" s="15">
        <v>7.3</v>
      </c>
      <c r="N53" s="15">
        <v>16.375555268038124</v>
      </c>
      <c r="O53" s="15">
        <v>18.969681286928019</v>
      </c>
      <c r="P53" s="15">
        <v>10.82071850605943</v>
      </c>
      <c r="Q53" s="15">
        <v>2.9</v>
      </c>
      <c r="R53" s="15">
        <v>6.3</v>
      </c>
      <c r="S53" s="15">
        <v>41.6</v>
      </c>
      <c r="T53" s="15">
        <v>2.2999999999999998</v>
      </c>
      <c r="U53" s="12">
        <v>3132</v>
      </c>
      <c r="V53" s="12">
        <v>1448</v>
      </c>
      <c r="W53" s="15">
        <v>117.6</v>
      </c>
      <c r="X53" s="15">
        <v>92.7</v>
      </c>
      <c r="Y53" s="24">
        <v>549</v>
      </c>
      <c r="Z53" s="19">
        <v>115.9</v>
      </c>
      <c r="AA53" s="19">
        <v>101.1</v>
      </c>
      <c r="AB53" s="19">
        <v>627</v>
      </c>
      <c r="AC53" s="49">
        <v>3</v>
      </c>
      <c r="AD53" s="27">
        <v>3</v>
      </c>
      <c r="AE53" s="27">
        <v>4</v>
      </c>
      <c r="AF53" s="31">
        <v>3.6</v>
      </c>
      <c r="AG53" s="15">
        <v>75.548533693105156</v>
      </c>
      <c r="AH53" s="38">
        <v>83.3</v>
      </c>
      <c r="AI53" s="38">
        <v>68.099999999999994</v>
      </c>
      <c r="AJ53" s="39">
        <v>473</v>
      </c>
      <c r="AK53" s="38">
        <v>19.2</v>
      </c>
      <c r="AL53" s="39">
        <v>7.6</v>
      </c>
      <c r="AM53" s="39">
        <v>39</v>
      </c>
      <c r="AN53" s="19"/>
      <c r="AO53" s="19"/>
      <c r="AP53" s="84">
        <v>0</v>
      </c>
      <c r="AQ53" s="60">
        <v>129069</v>
      </c>
      <c r="AR53" s="60">
        <v>78274</v>
      </c>
      <c r="AS53" s="60">
        <v>42486</v>
      </c>
      <c r="AT53" s="60">
        <v>73342</v>
      </c>
      <c r="AU53" s="24">
        <v>173314</v>
      </c>
      <c r="AV53" s="60">
        <v>6534.7598091840664</v>
      </c>
      <c r="AW53" s="24">
        <v>93703</v>
      </c>
      <c r="AX53" s="24">
        <v>55216</v>
      </c>
      <c r="AY53" s="60">
        <v>19067</v>
      </c>
      <c r="AZ53" s="60">
        <v>10884</v>
      </c>
    </row>
    <row r="54" spans="1:52">
      <c r="A54" s="1" t="s">
        <v>52</v>
      </c>
      <c r="B54" s="7" t="s">
        <v>259</v>
      </c>
      <c r="C54" s="7" t="s">
        <v>261</v>
      </c>
      <c r="D54" s="15">
        <v>17.649046440674599</v>
      </c>
      <c r="E54" s="15">
        <v>23.98</v>
      </c>
      <c r="F54" s="15" t="s">
        <v>280</v>
      </c>
      <c r="G54" s="12">
        <v>233103.6899102907</v>
      </c>
      <c r="H54" s="12">
        <v>113570</v>
      </c>
      <c r="I54" s="12">
        <v>119534</v>
      </c>
      <c r="J54" s="15">
        <v>7.7</v>
      </c>
      <c r="K54" s="15">
        <v>8.1</v>
      </c>
      <c r="L54" s="15">
        <v>7.6</v>
      </c>
      <c r="M54" s="15">
        <v>6.5</v>
      </c>
      <c r="N54" s="15">
        <v>11.657457615484933</v>
      </c>
      <c r="O54" s="15">
        <v>18.487885235774591</v>
      </c>
      <c r="P54" s="15">
        <v>16.30860045301668</v>
      </c>
      <c r="Q54" s="15">
        <v>4.9000000000000004</v>
      </c>
      <c r="R54" s="15">
        <v>18.8</v>
      </c>
      <c r="S54" s="15">
        <v>27.3</v>
      </c>
      <c r="T54" s="15">
        <v>8.5</v>
      </c>
      <c r="U54" s="12">
        <v>7428</v>
      </c>
      <c r="V54" s="12">
        <v>5605</v>
      </c>
      <c r="W54" s="15">
        <v>670.4</v>
      </c>
      <c r="X54" s="15">
        <v>569.5</v>
      </c>
      <c r="Y54" s="24">
        <v>2506</v>
      </c>
      <c r="Z54" s="19">
        <v>244.7</v>
      </c>
      <c r="AA54" s="19">
        <v>183.1</v>
      </c>
      <c r="AB54" s="19">
        <v>876</v>
      </c>
      <c r="AC54" s="49">
        <v>6</v>
      </c>
      <c r="AD54" s="27">
        <v>6</v>
      </c>
      <c r="AE54" s="27">
        <v>7</v>
      </c>
      <c r="AF54" s="31">
        <v>3.8</v>
      </c>
      <c r="AG54" s="15">
        <v>58.286036266775945</v>
      </c>
      <c r="AH54" s="38">
        <v>433.2</v>
      </c>
      <c r="AI54" s="38">
        <v>307.5</v>
      </c>
      <c r="AJ54" s="40">
        <v>1335</v>
      </c>
      <c r="AK54" s="38">
        <v>344.3</v>
      </c>
      <c r="AL54" s="39">
        <v>297.2</v>
      </c>
      <c r="AM54" s="40">
        <v>1498</v>
      </c>
      <c r="AN54" s="19"/>
      <c r="AO54" s="19"/>
      <c r="AP54" s="84">
        <v>0</v>
      </c>
      <c r="AQ54" s="60">
        <v>1212437</v>
      </c>
      <c r="AR54" s="60">
        <v>821790</v>
      </c>
      <c r="AS54" s="60">
        <v>456494</v>
      </c>
      <c r="AT54" s="60">
        <v>635003</v>
      </c>
      <c r="AU54" s="24">
        <v>658261</v>
      </c>
      <c r="AV54" s="60">
        <v>8039.2807197569382</v>
      </c>
      <c r="AW54" s="24">
        <v>964422</v>
      </c>
      <c r="AX54" s="24">
        <v>566707</v>
      </c>
      <c r="AY54" s="60">
        <v>230014</v>
      </c>
      <c r="AZ54" s="60">
        <v>78541</v>
      </c>
    </row>
    <row r="55" spans="1:52">
      <c r="A55" s="1" t="s">
        <v>53</v>
      </c>
      <c r="B55" s="7" t="s">
        <v>259</v>
      </c>
      <c r="C55" s="7" t="s">
        <v>260</v>
      </c>
      <c r="D55" s="15">
        <v>12.208944191203647</v>
      </c>
      <c r="E55" s="15">
        <v>18.850000000000001</v>
      </c>
      <c r="F55" s="15">
        <v>99.9</v>
      </c>
      <c r="G55" s="12">
        <v>33187.568885564433</v>
      </c>
      <c r="H55" s="12">
        <v>17017</v>
      </c>
      <c r="I55" s="12">
        <v>16170</v>
      </c>
      <c r="J55" s="15">
        <v>8.6999999999999993</v>
      </c>
      <c r="K55" s="15">
        <v>9.6999999999999993</v>
      </c>
      <c r="L55" s="15">
        <v>9.5</v>
      </c>
      <c r="M55" s="15">
        <v>8.9</v>
      </c>
      <c r="N55" s="15">
        <v>17.036278172833555</v>
      </c>
      <c r="O55" s="15">
        <v>20.570688200554418</v>
      </c>
      <c r="P55" s="15">
        <v>16.593346992888996</v>
      </c>
      <c r="Q55" s="15">
        <v>3.3</v>
      </c>
      <c r="R55" s="15">
        <v>5.7</v>
      </c>
      <c r="S55" s="15">
        <v>33.1</v>
      </c>
      <c r="T55" s="15">
        <v>2.1</v>
      </c>
      <c r="U55" s="12">
        <v>39</v>
      </c>
      <c r="V55" s="12">
        <v>829</v>
      </c>
      <c r="W55" s="15">
        <v>43.5</v>
      </c>
      <c r="X55" s="15">
        <v>42.6</v>
      </c>
      <c r="Y55" s="24">
        <v>234</v>
      </c>
      <c r="Z55" s="19">
        <v>18.899999999999999</v>
      </c>
      <c r="AA55" s="19">
        <v>16.399999999999999</v>
      </c>
      <c r="AB55" s="19">
        <v>88</v>
      </c>
      <c r="AC55" s="49">
        <v>4</v>
      </c>
      <c r="AD55" s="27">
        <v>4</v>
      </c>
      <c r="AE55" s="27">
        <v>4</v>
      </c>
      <c r="AF55" s="31">
        <v>1.7</v>
      </c>
      <c r="AG55" s="15">
        <v>68.414702460464511</v>
      </c>
      <c r="AH55" s="38">
        <v>70.2</v>
      </c>
      <c r="AI55" s="38">
        <v>58</v>
      </c>
      <c r="AJ55" s="39">
        <v>304</v>
      </c>
      <c r="AK55" s="38">
        <v>60.8</v>
      </c>
      <c r="AL55" s="39">
        <v>55.7</v>
      </c>
      <c r="AM55" s="39">
        <v>266</v>
      </c>
      <c r="AN55" s="19"/>
      <c r="AO55" s="19"/>
      <c r="AP55" s="84">
        <v>0</v>
      </c>
      <c r="AQ55" s="60">
        <v>69780</v>
      </c>
      <c r="AR55" s="60">
        <v>35815</v>
      </c>
      <c r="AS55" s="60">
        <v>24577</v>
      </c>
      <c r="AT55" s="60">
        <v>37928.084300000002</v>
      </c>
      <c r="AU55" s="24">
        <v>175521</v>
      </c>
      <c r="AV55" s="60">
        <v>7385.3858004830308</v>
      </c>
      <c r="AW55" s="24">
        <v>66228.714999999997</v>
      </c>
      <c r="AX55" s="24">
        <v>50413.084300000002</v>
      </c>
      <c r="AY55" s="60">
        <v>10179.9794</v>
      </c>
      <c r="AZ55" s="60">
        <v>3161.89</v>
      </c>
    </row>
    <row r="56" spans="1:52">
      <c r="A56" s="1" t="s">
        <v>54</v>
      </c>
      <c r="B56" s="7" t="s">
        <v>259</v>
      </c>
      <c r="C56" s="7" t="s">
        <v>262</v>
      </c>
      <c r="D56" s="15">
        <v>16.520102914634617</v>
      </c>
      <c r="E56" s="15">
        <v>15.69</v>
      </c>
      <c r="F56" s="15">
        <v>32.4</v>
      </c>
      <c r="G56" s="12">
        <v>51419.564838377548</v>
      </c>
      <c r="H56" s="12">
        <v>25429</v>
      </c>
      <c r="I56" s="12">
        <v>25990</v>
      </c>
      <c r="J56" s="15">
        <v>7.5</v>
      </c>
      <c r="K56" s="15">
        <v>7.8</v>
      </c>
      <c r="L56" s="15">
        <v>7.5</v>
      </c>
      <c r="M56" s="15">
        <v>7.4</v>
      </c>
      <c r="N56" s="15">
        <v>13.234150136133799</v>
      </c>
      <c r="O56" s="15">
        <v>20.258654220147804</v>
      </c>
      <c r="P56" s="15">
        <v>16.127965772073125</v>
      </c>
      <c r="Q56" s="15">
        <v>5.6</v>
      </c>
      <c r="R56" s="15">
        <v>14.7</v>
      </c>
      <c r="S56" s="15">
        <v>27.1</v>
      </c>
      <c r="T56" s="15">
        <v>5.5</v>
      </c>
      <c r="U56" s="12">
        <v>1501</v>
      </c>
      <c r="V56" s="12">
        <v>1625</v>
      </c>
      <c r="W56" s="15">
        <v>24.3</v>
      </c>
      <c r="X56" s="15">
        <v>13.6</v>
      </c>
      <c r="Y56" s="24">
        <v>89</v>
      </c>
      <c r="Z56" s="19">
        <v>262.7</v>
      </c>
      <c r="AA56" s="19">
        <v>254.5</v>
      </c>
      <c r="AB56" s="19">
        <v>1492</v>
      </c>
      <c r="AC56" s="49">
        <v>4</v>
      </c>
      <c r="AD56" s="27">
        <v>4</v>
      </c>
      <c r="AE56" s="27">
        <v>4</v>
      </c>
      <c r="AF56" s="31">
        <v>7.2</v>
      </c>
      <c r="AG56" s="15">
        <v>58.887425177378731</v>
      </c>
      <c r="AH56" s="38">
        <v>80.5</v>
      </c>
      <c r="AI56" s="38">
        <v>67.599999999999994</v>
      </c>
      <c r="AJ56" s="39">
        <v>296</v>
      </c>
      <c r="AK56" s="38">
        <v>44.2</v>
      </c>
      <c r="AL56" s="39">
        <v>29.9</v>
      </c>
      <c r="AM56" s="39">
        <v>138</v>
      </c>
      <c r="AN56" s="19"/>
      <c r="AO56" s="19"/>
      <c r="AP56" s="84">
        <v>0</v>
      </c>
      <c r="AQ56" s="60">
        <v>262881</v>
      </c>
      <c r="AR56" s="60">
        <v>149499</v>
      </c>
      <c r="AS56" s="60">
        <v>65867</v>
      </c>
      <c r="AT56" s="60">
        <v>135978</v>
      </c>
      <c r="AU56" s="24">
        <v>192933</v>
      </c>
      <c r="AV56" s="60">
        <v>8865.5748338764806</v>
      </c>
      <c r="AW56" s="24">
        <v>180997.69</v>
      </c>
      <c r="AX56" s="24">
        <v>87233</v>
      </c>
      <c r="AY56" s="60">
        <v>46941</v>
      </c>
      <c r="AZ56" s="60">
        <v>19458</v>
      </c>
    </row>
    <row r="57" spans="1:52">
      <c r="A57" s="1" t="s">
        <v>55</v>
      </c>
      <c r="B57" s="7" t="s">
        <v>259</v>
      </c>
      <c r="C57" s="7" t="s">
        <v>261</v>
      </c>
      <c r="D57" s="15">
        <v>14.85921889191644</v>
      </c>
      <c r="E57" s="15">
        <v>19.96</v>
      </c>
      <c r="F57" s="15" t="s">
        <v>280</v>
      </c>
      <c r="G57" s="12">
        <v>61518.602294970689</v>
      </c>
      <c r="H57" s="12">
        <v>29964</v>
      </c>
      <c r="I57" s="12">
        <v>31555</v>
      </c>
      <c r="J57" s="15">
        <v>10.9</v>
      </c>
      <c r="K57" s="15">
        <v>8.9</v>
      </c>
      <c r="L57" s="15">
        <v>7.1</v>
      </c>
      <c r="M57" s="15">
        <v>6.2</v>
      </c>
      <c r="N57" s="15">
        <v>13.800614444318015</v>
      </c>
      <c r="O57" s="15">
        <v>18.929111331458571</v>
      </c>
      <c r="P57" s="15">
        <v>14.301272777515889</v>
      </c>
      <c r="Q57" s="15">
        <v>4.9000000000000004</v>
      </c>
      <c r="R57" s="15">
        <v>15</v>
      </c>
      <c r="S57" s="15">
        <v>30.7</v>
      </c>
      <c r="T57" s="15">
        <v>5.6</v>
      </c>
      <c r="U57" s="12">
        <v>1708</v>
      </c>
      <c r="V57" s="12">
        <v>2031</v>
      </c>
      <c r="W57" s="15">
        <v>138.19999999999999</v>
      </c>
      <c r="X57" s="15">
        <v>90.5</v>
      </c>
      <c r="Y57" s="24">
        <v>517</v>
      </c>
      <c r="Z57" s="19">
        <v>73</v>
      </c>
      <c r="AA57" s="19">
        <v>55.6</v>
      </c>
      <c r="AB57" s="19">
        <v>357</v>
      </c>
      <c r="AC57" s="49">
        <v>5</v>
      </c>
      <c r="AD57" s="27">
        <v>5</v>
      </c>
      <c r="AE57" s="27">
        <v>5</v>
      </c>
      <c r="AF57" s="31">
        <v>1.8</v>
      </c>
      <c r="AG57" s="15">
        <v>63.270111183780251</v>
      </c>
      <c r="AH57" s="38">
        <v>69.2</v>
      </c>
      <c r="AI57" s="38">
        <v>63.7</v>
      </c>
      <c r="AJ57" s="39">
        <v>372</v>
      </c>
      <c r="AK57" s="38">
        <v>28.7</v>
      </c>
      <c r="AL57" s="39">
        <v>23.1</v>
      </c>
      <c r="AM57" s="39">
        <v>124</v>
      </c>
      <c r="AN57" s="19"/>
      <c r="AO57" s="19"/>
      <c r="AP57" s="84">
        <v>0</v>
      </c>
      <c r="AQ57" s="60">
        <v>314324</v>
      </c>
      <c r="AR57" s="60">
        <v>192751</v>
      </c>
      <c r="AS57" s="60">
        <v>78186</v>
      </c>
      <c r="AT57" s="60">
        <v>109820</v>
      </c>
      <c r="AU57" s="24">
        <v>163722</v>
      </c>
      <c r="AV57" s="60">
        <v>7765.2284378875393</v>
      </c>
      <c r="AW57" s="24">
        <v>235772</v>
      </c>
      <c r="AX57" s="24">
        <v>104305</v>
      </c>
      <c r="AY57" s="60">
        <v>85372</v>
      </c>
      <c r="AZ57" s="60">
        <v>15673</v>
      </c>
    </row>
    <row r="58" spans="1:52">
      <c r="A58" s="1" t="s">
        <v>56</v>
      </c>
      <c r="B58" s="7" t="s">
        <v>259</v>
      </c>
      <c r="C58" s="7" t="s">
        <v>260</v>
      </c>
      <c r="D58" s="15">
        <v>11.424047996000333</v>
      </c>
      <c r="E58" s="15">
        <v>19.010000000000002</v>
      </c>
      <c r="F58" s="15">
        <v>99.9</v>
      </c>
      <c r="G58" s="12">
        <v>27115.30766284094</v>
      </c>
      <c r="H58" s="12">
        <v>13664</v>
      </c>
      <c r="I58" s="12">
        <v>13452</v>
      </c>
      <c r="J58" s="15">
        <v>9.4</v>
      </c>
      <c r="K58" s="15">
        <v>9.8000000000000007</v>
      </c>
      <c r="L58" s="15">
        <v>10.1</v>
      </c>
      <c r="M58" s="15">
        <v>10.4</v>
      </c>
      <c r="N58" s="15">
        <v>18.428913885303338</v>
      </c>
      <c r="O58" s="15">
        <v>18.849345380785543</v>
      </c>
      <c r="P58" s="15">
        <v>14.70035035957957</v>
      </c>
      <c r="Q58" s="15">
        <v>3</v>
      </c>
      <c r="R58" s="15">
        <v>5.3</v>
      </c>
      <c r="S58" s="15">
        <v>35.5</v>
      </c>
      <c r="T58" s="15">
        <v>1.8</v>
      </c>
      <c r="U58" s="12">
        <v>53</v>
      </c>
      <c r="V58" s="12">
        <v>575</v>
      </c>
      <c r="W58" s="15">
        <v>24.2</v>
      </c>
      <c r="X58" s="15">
        <v>23.9</v>
      </c>
      <c r="Y58" s="24">
        <v>136</v>
      </c>
      <c r="Z58" s="19">
        <v>12</v>
      </c>
      <c r="AA58" s="19">
        <v>12</v>
      </c>
      <c r="AB58" s="19">
        <v>50</v>
      </c>
      <c r="AC58" s="49">
        <v>3</v>
      </c>
      <c r="AD58" s="27">
        <v>3</v>
      </c>
      <c r="AE58" s="27">
        <v>3</v>
      </c>
      <c r="AF58" s="31">
        <v>0</v>
      </c>
      <c r="AG58" s="15">
        <v>56.869746745042029</v>
      </c>
      <c r="AH58" s="45">
        <v>23.3</v>
      </c>
      <c r="AI58" s="45">
        <v>20.8</v>
      </c>
      <c r="AJ58" s="45">
        <v>97</v>
      </c>
      <c r="AK58" s="45">
        <v>26.7</v>
      </c>
      <c r="AL58" s="45">
        <v>21.2</v>
      </c>
      <c r="AM58" s="45">
        <v>98</v>
      </c>
      <c r="AN58" s="19"/>
      <c r="AO58" s="19"/>
      <c r="AP58" s="84">
        <v>0</v>
      </c>
      <c r="AQ58" s="60">
        <v>50658</v>
      </c>
      <c r="AR58" s="60">
        <v>28690</v>
      </c>
      <c r="AS58" s="60">
        <v>20073</v>
      </c>
      <c r="AT58" s="60">
        <v>34107</v>
      </c>
      <c r="AU58" s="24">
        <v>152127</v>
      </c>
      <c r="AV58" s="60">
        <v>7478.4694505935067</v>
      </c>
      <c r="AW58" s="24">
        <v>41865.916299999997</v>
      </c>
      <c r="AX58" s="24">
        <v>31718</v>
      </c>
      <c r="AY58" s="60">
        <v>6171.2915999999996</v>
      </c>
      <c r="AZ58" s="60">
        <v>578.19000000000005</v>
      </c>
    </row>
    <row r="59" spans="1:52">
      <c r="A59" s="1" t="s">
        <v>57</v>
      </c>
      <c r="B59" s="7" t="s">
        <v>259</v>
      </c>
      <c r="C59" s="7" t="s">
        <v>261</v>
      </c>
      <c r="D59" s="15">
        <v>15.952134986225897</v>
      </c>
      <c r="E59" s="15">
        <v>13.77</v>
      </c>
      <c r="F59" s="15" t="s">
        <v>280</v>
      </c>
      <c r="G59" s="12">
        <v>28169.54990259503</v>
      </c>
      <c r="H59" s="12">
        <v>13913</v>
      </c>
      <c r="I59" s="12">
        <v>14257</v>
      </c>
      <c r="J59" s="15">
        <v>12.6</v>
      </c>
      <c r="K59" s="15">
        <v>10.9</v>
      </c>
      <c r="L59" s="15">
        <v>7.8</v>
      </c>
      <c r="M59" s="15">
        <v>6.7</v>
      </c>
      <c r="N59" s="15">
        <v>14.124955626553071</v>
      </c>
      <c r="O59" s="15">
        <v>15.260915867944622</v>
      </c>
      <c r="P59" s="15">
        <v>13.425630102946398</v>
      </c>
      <c r="Q59" s="15">
        <v>4.4000000000000004</v>
      </c>
      <c r="R59" s="15">
        <v>14.7</v>
      </c>
      <c r="S59" s="15">
        <v>35.4</v>
      </c>
      <c r="T59" s="15">
        <v>6.7</v>
      </c>
      <c r="U59" s="12">
        <v>45</v>
      </c>
      <c r="V59" s="12">
        <v>759</v>
      </c>
      <c r="W59" s="15">
        <v>2.4</v>
      </c>
      <c r="X59" s="15">
        <v>0.5</v>
      </c>
      <c r="Y59" s="24" t="s">
        <v>280</v>
      </c>
      <c r="Z59" s="19">
        <v>25.6</v>
      </c>
      <c r="AA59" s="19">
        <v>23.8</v>
      </c>
      <c r="AB59" s="19">
        <v>157</v>
      </c>
      <c r="AC59" s="49">
        <v>3</v>
      </c>
      <c r="AD59" s="27">
        <v>3</v>
      </c>
      <c r="AE59" s="27">
        <v>2</v>
      </c>
      <c r="AF59" s="31">
        <v>0.6</v>
      </c>
      <c r="AG59" s="15">
        <v>57.049572335142095</v>
      </c>
      <c r="AH59" s="38">
        <v>19.5</v>
      </c>
      <c r="AI59" s="38">
        <v>16.899999999999999</v>
      </c>
      <c r="AJ59" s="39">
        <v>104</v>
      </c>
      <c r="AK59" s="38">
        <v>19.5</v>
      </c>
      <c r="AL59" s="39">
        <v>4.0999999999999996</v>
      </c>
      <c r="AM59" s="39">
        <v>11</v>
      </c>
      <c r="AN59" s="19"/>
      <c r="AO59" s="19"/>
      <c r="AP59" s="84">
        <v>0</v>
      </c>
      <c r="AQ59" s="60">
        <v>122447</v>
      </c>
      <c r="AR59" s="60">
        <v>63000</v>
      </c>
      <c r="AS59" s="60">
        <v>35300</v>
      </c>
      <c r="AT59" s="60">
        <v>40132.97</v>
      </c>
      <c r="AU59" s="24">
        <v>102276</v>
      </c>
      <c r="AV59" s="60">
        <v>7971.195875561878</v>
      </c>
      <c r="AW59" s="24">
        <v>74333.259999999995</v>
      </c>
      <c r="AX59" s="24">
        <v>45930.97</v>
      </c>
      <c r="AY59" s="60">
        <v>12808.49</v>
      </c>
      <c r="AZ59" s="60">
        <v>5386.69</v>
      </c>
    </row>
    <row r="60" spans="1:52">
      <c r="A60" s="1" t="s">
        <v>58</v>
      </c>
      <c r="B60" s="7" t="s">
        <v>259</v>
      </c>
      <c r="C60" s="7" t="s">
        <v>261</v>
      </c>
      <c r="D60" s="15">
        <v>16.722020545300069</v>
      </c>
      <c r="E60" s="15">
        <v>35.03</v>
      </c>
      <c r="F60" s="15" t="s">
        <v>280</v>
      </c>
      <c r="G60" s="12">
        <v>255387.31137445164</v>
      </c>
      <c r="H60" s="12">
        <v>125035</v>
      </c>
      <c r="I60" s="12">
        <v>130352</v>
      </c>
      <c r="J60" s="15">
        <v>7.7</v>
      </c>
      <c r="K60" s="15">
        <v>8.6999999999999993</v>
      </c>
      <c r="L60" s="15">
        <v>8.3000000000000007</v>
      </c>
      <c r="M60" s="15">
        <v>7.2</v>
      </c>
      <c r="N60" s="15">
        <v>11.127817782424321</v>
      </c>
      <c r="O60" s="15">
        <v>18.342750414077457</v>
      </c>
      <c r="P60" s="15">
        <v>17.478963298836668</v>
      </c>
      <c r="Q60" s="15">
        <v>4.2</v>
      </c>
      <c r="R60" s="15">
        <v>16.899999999999999</v>
      </c>
      <c r="S60" s="15">
        <v>29.2</v>
      </c>
      <c r="T60" s="15">
        <v>7.6</v>
      </c>
      <c r="U60" s="12">
        <v>823</v>
      </c>
      <c r="V60" s="12">
        <v>5307</v>
      </c>
      <c r="W60" s="15">
        <v>483.7</v>
      </c>
      <c r="X60" s="15">
        <v>446.3</v>
      </c>
      <c r="Y60" s="24">
        <v>2086</v>
      </c>
      <c r="Z60" s="19">
        <v>428.1</v>
      </c>
      <c r="AA60" s="19">
        <v>185.9</v>
      </c>
      <c r="AB60" s="19">
        <v>897</v>
      </c>
      <c r="AC60" s="49">
        <v>7</v>
      </c>
      <c r="AD60" s="27">
        <v>7</v>
      </c>
      <c r="AE60" s="27">
        <v>9</v>
      </c>
      <c r="AF60" s="31">
        <v>6.8</v>
      </c>
      <c r="AG60" s="15">
        <v>67.80476708035286</v>
      </c>
      <c r="AH60" s="38">
        <v>395.9</v>
      </c>
      <c r="AI60" s="38">
        <v>329.9</v>
      </c>
      <c r="AJ60" s="40">
        <v>1689</v>
      </c>
      <c r="AK60" s="38">
        <v>405.1</v>
      </c>
      <c r="AL60" s="39">
        <v>355.3</v>
      </c>
      <c r="AM60" s="40">
        <v>2034</v>
      </c>
      <c r="AN60" s="19"/>
      <c r="AO60" s="19"/>
      <c r="AP60" s="84">
        <v>0</v>
      </c>
      <c r="AQ60" s="60">
        <v>1592704</v>
      </c>
      <c r="AR60" s="60">
        <v>1170342</v>
      </c>
      <c r="AS60" s="60">
        <v>482650</v>
      </c>
      <c r="AT60" s="60">
        <v>530750</v>
      </c>
      <c r="AU60" s="24">
        <v>656111</v>
      </c>
      <c r="AV60" s="60">
        <v>8791.000570534201</v>
      </c>
      <c r="AW60" s="24">
        <v>1377289</v>
      </c>
      <c r="AX60" s="24">
        <v>587756</v>
      </c>
      <c r="AY60" s="60">
        <v>468751</v>
      </c>
      <c r="AZ60" s="60">
        <v>171971</v>
      </c>
    </row>
    <row r="61" spans="1:52">
      <c r="A61" s="1" t="s">
        <v>59</v>
      </c>
      <c r="B61" s="7" t="s">
        <v>259</v>
      </c>
      <c r="C61" s="7" t="s">
        <v>261</v>
      </c>
      <c r="D61" s="15">
        <v>11.670735960934774</v>
      </c>
      <c r="E61" s="15">
        <v>17.21</v>
      </c>
      <c r="F61" s="15" t="s">
        <v>280</v>
      </c>
      <c r="G61" s="12">
        <v>38029.460899533537</v>
      </c>
      <c r="H61" s="12">
        <v>19469</v>
      </c>
      <c r="I61" s="12">
        <v>18560</v>
      </c>
      <c r="J61" s="15">
        <v>13.4</v>
      </c>
      <c r="K61" s="15">
        <v>11.6</v>
      </c>
      <c r="L61" s="15">
        <v>10.7</v>
      </c>
      <c r="M61" s="15">
        <v>9.1999999999999993</v>
      </c>
      <c r="N61" s="15">
        <v>15.861579321044466</v>
      </c>
      <c r="O61" s="15">
        <v>14.646716979147492</v>
      </c>
      <c r="P61" s="15">
        <v>11.094164979357858</v>
      </c>
      <c r="Q61" s="15">
        <v>3.8</v>
      </c>
      <c r="R61" s="15">
        <v>9.6999999999999993</v>
      </c>
      <c r="S61" s="15">
        <v>41</v>
      </c>
      <c r="T61" s="15">
        <v>3.8</v>
      </c>
      <c r="U61" s="12">
        <v>-196</v>
      </c>
      <c r="V61" s="12">
        <v>885</v>
      </c>
      <c r="W61" s="15">
        <v>61.6</v>
      </c>
      <c r="X61" s="15">
        <v>51.6</v>
      </c>
      <c r="Y61" s="24">
        <v>395</v>
      </c>
      <c r="Z61" s="19">
        <v>10</v>
      </c>
      <c r="AA61" s="19">
        <v>8.5</v>
      </c>
      <c r="AB61" s="19">
        <v>30</v>
      </c>
      <c r="AC61" s="49">
        <v>2</v>
      </c>
      <c r="AD61" s="27">
        <v>2</v>
      </c>
      <c r="AE61" s="27">
        <v>2</v>
      </c>
      <c r="AF61" s="31">
        <v>0.4</v>
      </c>
      <c r="AG61" s="15">
        <v>60.253437137651154</v>
      </c>
      <c r="AH61" s="38">
        <v>19.399999999999999</v>
      </c>
      <c r="AI61" s="38">
        <v>15.5</v>
      </c>
      <c r="AJ61" s="39">
        <v>111</v>
      </c>
      <c r="AK61" s="38">
        <v>16.7</v>
      </c>
      <c r="AL61" s="39">
        <v>16.2</v>
      </c>
      <c r="AM61" s="39">
        <v>86</v>
      </c>
      <c r="AN61" s="19"/>
      <c r="AO61" s="19"/>
      <c r="AP61" s="84">
        <v>0</v>
      </c>
      <c r="AQ61" s="60">
        <v>119463</v>
      </c>
      <c r="AR61" s="60">
        <v>58793</v>
      </c>
      <c r="AS61" s="60">
        <v>28326</v>
      </c>
      <c r="AT61" s="60">
        <v>49121.85</v>
      </c>
      <c r="AU61" s="24">
        <v>183277</v>
      </c>
      <c r="AV61" s="60">
        <v>8484.6062070776752</v>
      </c>
      <c r="AW61" s="24">
        <v>90228.34</v>
      </c>
      <c r="AX61" s="24">
        <v>44517.85</v>
      </c>
      <c r="AY61" s="60">
        <v>32208.720000000001</v>
      </c>
      <c r="AZ61" s="60">
        <v>2873.56</v>
      </c>
    </row>
    <row r="62" spans="1:52">
      <c r="A62" s="1" t="s">
        <v>60</v>
      </c>
      <c r="B62" s="7" t="s">
        <v>259</v>
      </c>
      <c r="C62" s="7" t="s">
        <v>260</v>
      </c>
      <c r="D62" s="15">
        <v>11.612526745769305</v>
      </c>
      <c r="E62" s="15">
        <v>13.58</v>
      </c>
      <c r="F62" s="15">
        <v>99.8</v>
      </c>
      <c r="G62" s="12">
        <v>24205.133125150533</v>
      </c>
      <c r="H62" s="12">
        <v>12379</v>
      </c>
      <c r="I62" s="12">
        <v>11826</v>
      </c>
      <c r="J62" s="15">
        <v>10.7</v>
      </c>
      <c r="K62" s="15">
        <v>10.3</v>
      </c>
      <c r="L62" s="15">
        <v>10.3</v>
      </c>
      <c r="M62" s="15">
        <v>10.1</v>
      </c>
      <c r="N62" s="15">
        <v>18.541623631481098</v>
      </c>
      <c r="O62" s="15">
        <v>18.14501136128899</v>
      </c>
      <c r="P62" s="15">
        <v>14.005370791158853</v>
      </c>
      <c r="Q62" s="15">
        <v>3.2</v>
      </c>
      <c r="R62" s="15">
        <v>4.8</v>
      </c>
      <c r="S62" s="15">
        <v>37.200000000000003</v>
      </c>
      <c r="T62" s="15">
        <v>1.6</v>
      </c>
      <c r="U62" s="12">
        <v>-70</v>
      </c>
      <c r="V62" s="12">
        <v>388</v>
      </c>
      <c r="W62" s="15">
        <v>12.7</v>
      </c>
      <c r="X62" s="15">
        <v>12.7</v>
      </c>
      <c r="Y62" s="24">
        <v>58</v>
      </c>
      <c r="Z62" s="19">
        <v>11.9</v>
      </c>
      <c r="AA62" s="19">
        <v>10.7</v>
      </c>
      <c r="AB62" s="19">
        <v>48</v>
      </c>
      <c r="AC62" s="49">
        <v>3</v>
      </c>
      <c r="AD62" s="27">
        <v>3</v>
      </c>
      <c r="AE62" s="27">
        <v>6</v>
      </c>
      <c r="AF62" s="31">
        <v>0.1</v>
      </c>
      <c r="AG62" s="15">
        <v>54.273670557717246</v>
      </c>
      <c r="AH62" s="38">
        <v>17.7</v>
      </c>
      <c r="AI62" s="38">
        <v>16.600000000000001</v>
      </c>
      <c r="AJ62" s="39">
        <v>81</v>
      </c>
      <c r="AK62" s="38">
        <v>23.1</v>
      </c>
      <c r="AL62" s="39">
        <v>20.5</v>
      </c>
      <c r="AM62" s="39">
        <v>109</v>
      </c>
      <c r="AN62" s="19"/>
      <c r="AO62" s="19"/>
      <c r="AP62" s="84">
        <v>0</v>
      </c>
      <c r="AQ62" s="60">
        <v>40784</v>
      </c>
      <c r="AR62" s="60">
        <v>15986</v>
      </c>
      <c r="AS62" s="60">
        <v>12464</v>
      </c>
      <c r="AT62" s="60">
        <v>76010.213000000003</v>
      </c>
      <c r="AU62" s="24">
        <v>121341</v>
      </c>
      <c r="AV62" s="60">
        <v>7126.7114751275385</v>
      </c>
      <c r="AW62" s="24">
        <v>26628.46</v>
      </c>
      <c r="AX62" s="24">
        <v>22443.213</v>
      </c>
      <c r="AY62" s="60">
        <v>2478.4679999999998</v>
      </c>
      <c r="AZ62" s="60">
        <v>113.791</v>
      </c>
    </row>
    <row r="63" spans="1:52">
      <c r="A63" s="1" t="s">
        <v>61</v>
      </c>
      <c r="B63" s="7" t="s">
        <v>259</v>
      </c>
      <c r="C63" s="7" t="s">
        <v>261</v>
      </c>
      <c r="D63" s="15">
        <v>13.455364686003943</v>
      </c>
      <c r="E63" s="15">
        <v>59.27</v>
      </c>
      <c r="F63" s="15" t="s">
        <v>280</v>
      </c>
      <c r="G63" s="12">
        <v>43240.724316685883</v>
      </c>
      <c r="H63" s="12">
        <v>20953</v>
      </c>
      <c r="I63" s="12">
        <v>22288</v>
      </c>
      <c r="J63" s="15">
        <v>6.7</v>
      </c>
      <c r="K63" s="15">
        <v>8.6</v>
      </c>
      <c r="L63" s="15">
        <v>9.4</v>
      </c>
      <c r="M63" s="15">
        <v>7.6</v>
      </c>
      <c r="N63" s="15">
        <v>9.6135612034874303</v>
      </c>
      <c r="O63" s="15">
        <v>19.416757244282046</v>
      </c>
      <c r="P63" s="15">
        <v>19.43294558405217</v>
      </c>
      <c r="Q63" s="15">
        <v>4</v>
      </c>
      <c r="R63" s="15">
        <v>15.3</v>
      </c>
      <c r="S63" s="15">
        <v>29.5</v>
      </c>
      <c r="T63" s="15">
        <v>7.2</v>
      </c>
      <c r="U63" s="12">
        <v>1020</v>
      </c>
      <c r="V63" s="12">
        <v>783</v>
      </c>
      <c r="W63" s="15">
        <v>225.3</v>
      </c>
      <c r="X63" s="15">
        <v>154.4</v>
      </c>
      <c r="Y63" s="24">
        <v>674</v>
      </c>
      <c r="Z63" s="19">
        <v>101.4</v>
      </c>
      <c r="AA63" s="19">
        <v>64.400000000000006</v>
      </c>
      <c r="AB63" s="19">
        <v>281</v>
      </c>
      <c r="AC63" s="49">
        <v>9</v>
      </c>
      <c r="AD63" s="27">
        <v>9</v>
      </c>
      <c r="AE63" s="27">
        <v>9</v>
      </c>
      <c r="AF63" s="31">
        <v>0</v>
      </c>
      <c r="AG63" s="15">
        <v>73.268408703757274</v>
      </c>
      <c r="AH63" s="38">
        <v>79.900000000000006</v>
      </c>
      <c r="AI63" s="38">
        <v>53.9</v>
      </c>
      <c r="AJ63" s="39">
        <v>328</v>
      </c>
      <c r="AK63" s="38">
        <v>96.5</v>
      </c>
      <c r="AL63" s="39">
        <v>91.9</v>
      </c>
      <c r="AM63" s="39">
        <v>416</v>
      </c>
      <c r="AN63" s="19"/>
      <c r="AO63" s="19"/>
      <c r="AP63" s="84">
        <v>0</v>
      </c>
      <c r="AQ63" s="60">
        <v>235335</v>
      </c>
      <c r="AR63" s="60">
        <v>142730</v>
      </c>
      <c r="AS63" s="60">
        <v>100306</v>
      </c>
      <c r="AT63" s="60">
        <v>113640</v>
      </c>
      <c r="AU63" s="24">
        <v>136335</v>
      </c>
      <c r="AV63" s="60">
        <v>8563.177556605262</v>
      </c>
      <c r="AW63" s="24">
        <v>166577</v>
      </c>
      <c r="AX63" s="24">
        <v>115601.99</v>
      </c>
      <c r="AY63" s="60">
        <v>39949.86</v>
      </c>
      <c r="AZ63" s="60">
        <v>605.5</v>
      </c>
    </row>
    <row r="64" spans="1:52">
      <c r="A64" s="1" t="s">
        <v>62</v>
      </c>
      <c r="B64" s="7" t="s">
        <v>259</v>
      </c>
      <c r="C64" s="7" t="s">
        <v>261</v>
      </c>
      <c r="D64" s="15">
        <v>16.260814959531121</v>
      </c>
      <c r="E64" s="15">
        <v>23.42</v>
      </c>
      <c r="F64" s="15" t="s">
        <v>280</v>
      </c>
      <c r="G64" s="12">
        <v>61142.400162137645</v>
      </c>
      <c r="H64" s="12">
        <v>29926</v>
      </c>
      <c r="I64" s="12">
        <v>31216</v>
      </c>
      <c r="J64" s="15">
        <v>7.7</v>
      </c>
      <c r="K64" s="15">
        <v>8</v>
      </c>
      <c r="L64" s="15">
        <v>7</v>
      </c>
      <c r="M64" s="15">
        <v>6.3</v>
      </c>
      <c r="N64" s="15">
        <v>12.312322135357038</v>
      </c>
      <c r="O64" s="15">
        <v>19.186483922671812</v>
      </c>
      <c r="P64" s="15">
        <v>16.532007458048479</v>
      </c>
      <c r="Q64" s="15">
        <v>5.5</v>
      </c>
      <c r="R64" s="15">
        <v>17.5</v>
      </c>
      <c r="S64" s="15">
        <v>26.4</v>
      </c>
      <c r="T64" s="15">
        <v>7</v>
      </c>
      <c r="U64" s="12">
        <v>676</v>
      </c>
      <c r="V64" s="12">
        <v>1478</v>
      </c>
      <c r="W64" s="15">
        <v>50</v>
      </c>
      <c r="X64" s="15">
        <v>49.6</v>
      </c>
      <c r="Y64" s="24">
        <v>374</v>
      </c>
      <c r="Z64" s="19">
        <v>65</v>
      </c>
      <c r="AA64" s="19">
        <v>60.8</v>
      </c>
      <c r="AB64" s="19">
        <v>352</v>
      </c>
      <c r="AC64" s="49">
        <v>6</v>
      </c>
      <c r="AD64" s="27">
        <v>6</v>
      </c>
      <c r="AE64" s="27">
        <v>5</v>
      </c>
      <c r="AF64" s="31">
        <v>6.1</v>
      </c>
      <c r="AG64" s="15">
        <v>64.970762642068848</v>
      </c>
      <c r="AH64" s="38">
        <v>97.3</v>
      </c>
      <c r="AI64" s="38">
        <v>94.2</v>
      </c>
      <c r="AJ64" s="39">
        <v>538</v>
      </c>
      <c r="AK64" s="38">
        <v>47</v>
      </c>
      <c r="AL64" s="39">
        <v>38.299999999999997</v>
      </c>
      <c r="AM64" s="39">
        <v>231</v>
      </c>
      <c r="AN64" s="19"/>
      <c r="AO64" s="19"/>
      <c r="AP64" s="84">
        <v>0</v>
      </c>
      <c r="AQ64" s="60">
        <v>311480</v>
      </c>
      <c r="AR64" s="60">
        <v>213967</v>
      </c>
      <c r="AS64" s="60">
        <v>106376</v>
      </c>
      <c r="AT64" s="60">
        <v>124309.874</v>
      </c>
      <c r="AU64" s="24">
        <v>213384</v>
      </c>
      <c r="AV64" s="60">
        <v>8580.265063340923</v>
      </c>
      <c r="AW64" s="24">
        <v>232831.514</v>
      </c>
      <c r="AX64" s="24">
        <v>117234.874</v>
      </c>
      <c r="AY64" s="60">
        <v>52554.256999999998</v>
      </c>
      <c r="AZ64" s="60">
        <v>0</v>
      </c>
    </row>
    <row r="65" spans="1:52">
      <c r="A65" s="1" t="s">
        <v>63</v>
      </c>
      <c r="B65" s="7" t="s">
        <v>259</v>
      </c>
      <c r="C65" s="7" t="s">
        <v>261</v>
      </c>
      <c r="D65" s="15">
        <v>14.800815636345552</v>
      </c>
      <c r="E65" s="15">
        <v>29.59</v>
      </c>
      <c r="F65" s="15" t="s">
        <v>280</v>
      </c>
      <c r="G65" s="12">
        <v>44619.630911073495</v>
      </c>
      <c r="H65" s="12">
        <v>21454</v>
      </c>
      <c r="I65" s="12">
        <v>23166</v>
      </c>
      <c r="J65" s="15">
        <v>7.3</v>
      </c>
      <c r="K65" s="15">
        <v>7.7</v>
      </c>
      <c r="L65" s="15">
        <v>6.7</v>
      </c>
      <c r="M65" s="15">
        <v>5.4</v>
      </c>
      <c r="N65" s="15">
        <v>10.750784401613627</v>
      </c>
      <c r="O65" s="15">
        <v>20.688032272523532</v>
      </c>
      <c r="P65" s="15">
        <v>16.290900941281937</v>
      </c>
      <c r="Q65" s="15">
        <v>4.9000000000000004</v>
      </c>
      <c r="R65" s="15">
        <v>20.2</v>
      </c>
      <c r="S65" s="15">
        <v>25.1</v>
      </c>
      <c r="T65" s="15">
        <v>8.6999999999999993</v>
      </c>
      <c r="U65" s="12">
        <v>1122</v>
      </c>
      <c r="V65" s="12">
        <v>1127</v>
      </c>
      <c r="W65" s="15">
        <v>18.2</v>
      </c>
      <c r="X65" s="15">
        <v>15.2</v>
      </c>
      <c r="Y65" s="24">
        <v>85</v>
      </c>
      <c r="Z65" s="19">
        <v>38.5</v>
      </c>
      <c r="AA65" s="19">
        <v>24.7</v>
      </c>
      <c r="AB65" s="19">
        <v>152</v>
      </c>
      <c r="AC65" s="49">
        <v>6</v>
      </c>
      <c r="AD65" s="27">
        <v>6</v>
      </c>
      <c r="AE65" s="27">
        <v>6</v>
      </c>
      <c r="AF65" s="31">
        <v>5.0999999999999996</v>
      </c>
      <c r="AG65" s="15">
        <v>62.646570721223171</v>
      </c>
      <c r="AH65" s="38">
        <v>21.7</v>
      </c>
      <c r="AI65" s="38">
        <v>19.2</v>
      </c>
      <c r="AJ65" s="39">
        <v>129</v>
      </c>
      <c r="AK65" s="38">
        <v>19.899999999999999</v>
      </c>
      <c r="AL65" s="39">
        <v>17.2</v>
      </c>
      <c r="AM65" s="39">
        <v>129</v>
      </c>
      <c r="AN65" s="19"/>
      <c r="AO65" s="19"/>
      <c r="AP65" s="84">
        <v>0</v>
      </c>
      <c r="AQ65" s="60">
        <v>289617</v>
      </c>
      <c r="AR65" s="60">
        <v>157464</v>
      </c>
      <c r="AS65" s="60">
        <v>86311</v>
      </c>
      <c r="AT65" s="60">
        <v>92865.22</v>
      </c>
      <c r="AU65" s="24">
        <v>105273</v>
      </c>
      <c r="AV65" s="60">
        <v>8840.7723673505716</v>
      </c>
      <c r="AW65" s="24">
        <v>184456.58900000001</v>
      </c>
      <c r="AX65" s="24">
        <v>110295.22</v>
      </c>
      <c r="AY65" s="60">
        <v>29480.73</v>
      </c>
      <c r="AZ65" s="60">
        <v>6189.84</v>
      </c>
    </row>
    <row r="66" spans="1:52">
      <c r="A66" s="1" t="s">
        <v>64</v>
      </c>
      <c r="B66" s="7" t="s">
        <v>259</v>
      </c>
      <c r="C66" s="7" t="s">
        <v>261</v>
      </c>
      <c r="D66" s="15">
        <v>16.060507364383163</v>
      </c>
      <c r="E66" s="15">
        <v>17.28</v>
      </c>
      <c r="F66" s="15" t="s">
        <v>280</v>
      </c>
      <c r="G66" s="12">
        <v>64437.129898127292</v>
      </c>
      <c r="H66" s="12">
        <v>31909</v>
      </c>
      <c r="I66" s="12">
        <v>32528</v>
      </c>
      <c r="J66" s="15">
        <v>12.3</v>
      </c>
      <c r="K66" s="15">
        <v>10.6</v>
      </c>
      <c r="L66" s="15">
        <v>8.1999999999999993</v>
      </c>
      <c r="M66" s="15">
        <v>6.5</v>
      </c>
      <c r="N66" s="15">
        <v>13.917469776681099</v>
      </c>
      <c r="O66" s="15">
        <v>19.111690488384003</v>
      </c>
      <c r="P66" s="15">
        <v>12.368670173968372</v>
      </c>
      <c r="Q66" s="15">
        <v>4.7</v>
      </c>
      <c r="R66" s="15">
        <v>12.4</v>
      </c>
      <c r="S66" s="15">
        <v>35</v>
      </c>
      <c r="T66" s="15">
        <v>4.8</v>
      </c>
      <c r="U66" s="12">
        <v>2752</v>
      </c>
      <c r="V66" s="12">
        <v>2144</v>
      </c>
      <c r="W66" s="15">
        <v>487.2</v>
      </c>
      <c r="X66" s="15">
        <v>235.5</v>
      </c>
      <c r="Y66" s="24">
        <v>1410</v>
      </c>
      <c r="Z66" s="19">
        <v>321.3</v>
      </c>
      <c r="AA66" s="19">
        <v>240.5</v>
      </c>
      <c r="AB66" s="19">
        <v>1406</v>
      </c>
      <c r="AC66" s="49">
        <v>4</v>
      </c>
      <c r="AD66" s="27">
        <v>4</v>
      </c>
      <c r="AE66" s="27">
        <v>5</v>
      </c>
      <c r="AF66" s="31">
        <v>12.9</v>
      </c>
      <c r="AG66" s="15">
        <v>68.513704062747863</v>
      </c>
      <c r="AH66" s="38">
        <v>28.3</v>
      </c>
      <c r="AI66" s="38">
        <v>18.600000000000001</v>
      </c>
      <c r="AJ66" s="39">
        <v>183</v>
      </c>
      <c r="AK66" s="38">
        <v>78.2</v>
      </c>
      <c r="AL66" s="39">
        <v>70.900000000000006</v>
      </c>
      <c r="AM66" s="39">
        <v>690</v>
      </c>
      <c r="AN66" s="19"/>
      <c r="AO66" s="19"/>
      <c r="AP66" s="84">
        <v>21120</v>
      </c>
      <c r="AQ66" s="60">
        <v>449230</v>
      </c>
      <c r="AR66" s="60">
        <v>292220</v>
      </c>
      <c r="AS66" s="60">
        <v>72211</v>
      </c>
      <c r="AT66" s="60">
        <v>96513.11</v>
      </c>
      <c r="AU66" s="24">
        <v>205423</v>
      </c>
      <c r="AV66" s="60">
        <v>10471.338513474198</v>
      </c>
      <c r="AW66" s="24">
        <v>300890.32605999999</v>
      </c>
      <c r="AX66" s="24">
        <v>96515.11</v>
      </c>
      <c r="AY66" s="60">
        <v>47221.826000000001</v>
      </c>
      <c r="AZ66" s="60">
        <v>95485.25</v>
      </c>
    </row>
    <row r="67" spans="1:52">
      <c r="A67" s="1" t="s">
        <v>65</v>
      </c>
      <c r="B67" s="7" t="s">
        <v>259</v>
      </c>
      <c r="C67" s="7" t="s">
        <v>261</v>
      </c>
      <c r="D67" s="15">
        <v>19.095191262487706</v>
      </c>
      <c r="E67" s="15">
        <v>14.98</v>
      </c>
      <c r="F67" s="15" t="s">
        <v>280</v>
      </c>
      <c r="G67" s="12">
        <v>41094.880715579253</v>
      </c>
      <c r="H67" s="12">
        <v>19604</v>
      </c>
      <c r="I67" s="12">
        <v>21491</v>
      </c>
      <c r="J67" s="15">
        <v>5.4</v>
      </c>
      <c r="K67" s="15">
        <v>6.1</v>
      </c>
      <c r="L67" s="15">
        <v>6</v>
      </c>
      <c r="M67" s="15">
        <v>5.3</v>
      </c>
      <c r="N67" s="15">
        <v>10.434359411120573</v>
      </c>
      <c r="O67" s="15">
        <v>18.922009976882833</v>
      </c>
      <c r="P67" s="15">
        <v>17.469278501034189</v>
      </c>
      <c r="Q67" s="15">
        <v>6.3</v>
      </c>
      <c r="R67" s="15">
        <v>24</v>
      </c>
      <c r="S67" s="15">
        <v>20.6</v>
      </c>
      <c r="T67" s="15">
        <v>10.4</v>
      </c>
      <c r="U67" s="12">
        <v>1851</v>
      </c>
      <c r="V67" s="12">
        <v>980</v>
      </c>
      <c r="W67" s="15">
        <v>70.8</v>
      </c>
      <c r="X67" s="15">
        <v>49.8</v>
      </c>
      <c r="Y67" s="24">
        <v>337</v>
      </c>
      <c r="Z67" s="19">
        <v>148.30000000000001</v>
      </c>
      <c r="AA67" s="19">
        <v>146.80000000000001</v>
      </c>
      <c r="AB67" s="19">
        <v>864</v>
      </c>
      <c r="AC67" s="49">
        <v>5</v>
      </c>
      <c r="AD67" s="27">
        <v>5</v>
      </c>
      <c r="AE67" s="27">
        <v>6</v>
      </c>
      <c r="AF67" s="31">
        <v>0.4</v>
      </c>
      <c r="AG67" s="15">
        <v>55.630667318238579</v>
      </c>
      <c r="AH67" s="38">
        <v>10.5</v>
      </c>
      <c r="AI67" s="38">
        <v>10.5</v>
      </c>
      <c r="AJ67" s="39">
        <v>83</v>
      </c>
      <c r="AK67" s="38">
        <v>20.2</v>
      </c>
      <c r="AL67" s="39">
        <v>17.5</v>
      </c>
      <c r="AM67" s="39">
        <v>137</v>
      </c>
      <c r="AN67" s="19"/>
      <c r="AO67" s="19"/>
      <c r="AP67" s="84">
        <v>0</v>
      </c>
      <c r="AQ67" s="60">
        <v>173884</v>
      </c>
      <c r="AR67" s="60">
        <v>92408</v>
      </c>
      <c r="AS67" s="60">
        <v>54935</v>
      </c>
      <c r="AT67" s="60">
        <v>78276.820000000007</v>
      </c>
      <c r="AU67" s="24">
        <v>179298</v>
      </c>
      <c r="AV67" s="60">
        <v>8429.1034301185082</v>
      </c>
      <c r="AW67" s="24">
        <v>124306.052</v>
      </c>
      <c r="AX67" s="24">
        <v>75996.820000000007</v>
      </c>
      <c r="AY67" s="60">
        <v>21918.86</v>
      </c>
      <c r="AZ67" s="60">
        <v>23531.23</v>
      </c>
    </row>
    <row r="68" spans="1:52">
      <c r="A68" s="1" t="s">
        <v>66</v>
      </c>
      <c r="B68" s="7" t="s">
        <v>259</v>
      </c>
      <c r="C68" s="7" t="s">
        <v>261</v>
      </c>
      <c r="D68" s="15">
        <v>15.438317426652528</v>
      </c>
      <c r="E68" s="15">
        <v>32.58</v>
      </c>
      <c r="F68" s="15" t="s">
        <v>280</v>
      </c>
      <c r="G68" s="12">
        <v>48001.190933072838</v>
      </c>
      <c r="H68" s="12">
        <v>22707</v>
      </c>
      <c r="I68" s="12">
        <v>25295</v>
      </c>
      <c r="J68" s="15">
        <v>7.2</v>
      </c>
      <c r="K68" s="15">
        <v>7.3</v>
      </c>
      <c r="L68" s="15">
        <v>6.3</v>
      </c>
      <c r="M68" s="15">
        <v>5.5</v>
      </c>
      <c r="N68" s="15">
        <v>10.38103372846399</v>
      </c>
      <c r="O68" s="15">
        <v>20.370408949813545</v>
      </c>
      <c r="P68" s="15">
        <v>16.322576612987231</v>
      </c>
      <c r="Q68" s="15">
        <v>5.0999999999999996</v>
      </c>
      <c r="R68" s="15">
        <v>21.5</v>
      </c>
      <c r="S68" s="15">
        <v>24.1</v>
      </c>
      <c r="T68" s="15">
        <v>9.4</v>
      </c>
      <c r="U68" s="12">
        <v>1260</v>
      </c>
      <c r="V68" s="12">
        <v>1178</v>
      </c>
      <c r="W68" s="15">
        <v>51.4</v>
      </c>
      <c r="X68" s="15">
        <v>42.6</v>
      </c>
      <c r="Y68" s="24">
        <v>231</v>
      </c>
      <c r="Z68" s="19">
        <v>59.5</v>
      </c>
      <c r="AA68" s="19">
        <v>49.6</v>
      </c>
      <c r="AB68" s="19">
        <v>333</v>
      </c>
      <c r="AC68" s="49">
        <v>7</v>
      </c>
      <c r="AD68" s="27">
        <v>7</v>
      </c>
      <c r="AE68" s="27">
        <v>6</v>
      </c>
      <c r="AF68" s="31">
        <v>0.8</v>
      </c>
      <c r="AG68" s="15">
        <v>63.347167968749993</v>
      </c>
      <c r="AH68" s="38">
        <v>57.5</v>
      </c>
      <c r="AI68" s="38">
        <v>56.8</v>
      </c>
      <c r="AJ68" s="39">
        <v>390</v>
      </c>
      <c r="AK68" s="38">
        <v>43.1</v>
      </c>
      <c r="AL68" s="39">
        <v>37.4</v>
      </c>
      <c r="AM68" s="39">
        <v>270</v>
      </c>
      <c r="AN68" s="19"/>
      <c r="AO68" s="19"/>
      <c r="AP68" s="84">
        <v>0</v>
      </c>
      <c r="AQ68" s="60">
        <v>188411</v>
      </c>
      <c r="AR68" s="60">
        <v>115508</v>
      </c>
      <c r="AS68" s="60">
        <v>93790</v>
      </c>
      <c r="AT68" s="60">
        <v>108750.16</v>
      </c>
      <c r="AU68" s="24">
        <v>103851</v>
      </c>
      <c r="AV68" s="60">
        <v>6081.1407868399247</v>
      </c>
      <c r="AW68" s="24">
        <v>145655.53</v>
      </c>
      <c r="AX68" s="24">
        <v>121201.16</v>
      </c>
      <c r="AY68" s="60">
        <v>18025.150000000001</v>
      </c>
      <c r="AZ68" s="60">
        <v>440.98</v>
      </c>
    </row>
    <row r="69" spans="1:52">
      <c r="A69" s="1" t="s">
        <v>67</v>
      </c>
      <c r="B69" s="7" t="s">
        <v>259</v>
      </c>
      <c r="C69" s="7" t="s">
        <v>261</v>
      </c>
      <c r="D69" s="15">
        <v>14.270923209663502</v>
      </c>
      <c r="E69" s="15">
        <v>14.3</v>
      </c>
      <c r="F69" s="15" t="s">
        <v>280</v>
      </c>
      <c r="G69" s="12">
        <v>25704.561487892839</v>
      </c>
      <c r="H69" s="12">
        <v>13050</v>
      </c>
      <c r="I69" s="12">
        <v>12655</v>
      </c>
      <c r="J69" s="15">
        <v>11.7</v>
      </c>
      <c r="K69" s="15">
        <v>10.9</v>
      </c>
      <c r="L69" s="15">
        <v>9</v>
      </c>
      <c r="M69" s="15">
        <v>6.3</v>
      </c>
      <c r="N69" s="15">
        <v>15.518381637813656</v>
      </c>
      <c r="O69" s="15">
        <v>19.649873565454193</v>
      </c>
      <c r="P69" s="15">
        <v>11.752577319587628</v>
      </c>
      <c r="Q69" s="15">
        <v>4.5999999999999996</v>
      </c>
      <c r="R69" s="15">
        <v>10.6</v>
      </c>
      <c r="S69" s="15">
        <v>35.5</v>
      </c>
      <c r="T69" s="15">
        <v>3.7</v>
      </c>
      <c r="U69" s="12">
        <v>134</v>
      </c>
      <c r="V69" s="12">
        <v>895</v>
      </c>
      <c r="W69" s="15">
        <v>149.1</v>
      </c>
      <c r="X69" s="15">
        <v>86.3</v>
      </c>
      <c r="Y69" s="24">
        <v>637</v>
      </c>
      <c r="Z69" s="19">
        <v>31</v>
      </c>
      <c r="AA69" s="19">
        <v>12.7</v>
      </c>
      <c r="AB69" s="19">
        <v>91</v>
      </c>
      <c r="AC69" s="49">
        <v>3</v>
      </c>
      <c r="AD69" s="27">
        <v>4</v>
      </c>
      <c r="AE69" s="27">
        <v>6</v>
      </c>
      <c r="AF69" s="31">
        <v>12</v>
      </c>
      <c r="AG69" s="15">
        <v>70.50604019373155</v>
      </c>
      <c r="AH69" s="38">
        <v>15.7</v>
      </c>
      <c r="AI69" s="38">
        <v>12.9</v>
      </c>
      <c r="AJ69" s="39">
        <v>68</v>
      </c>
      <c r="AK69" s="38">
        <v>50.1</v>
      </c>
      <c r="AL69" s="39">
        <v>12.6</v>
      </c>
      <c r="AM69" s="39">
        <v>76</v>
      </c>
      <c r="AN69" s="19"/>
      <c r="AO69" s="19"/>
      <c r="AP69" s="84">
        <v>0</v>
      </c>
      <c r="AQ69" s="60">
        <v>117648</v>
      </c>
      <c r="AR69" s="60">
        <v>68716</v>
      </c>
      <c r="AS69" s="60">
        <v>24202</v>
      </c>
      <c r="AT69" s="60">
        <v>32028</v>
      </c>
      <c r="AU69" s="24">
        <v>138210</v>
      </c>
      <c r="AV69" s="60">
        <v>9950.7241203268532</v>
      </c>
      <c r="AW69" s="24">
        <v>84074</v>
      </c>
      <c r="AX69" s="24">
        <v>36688</v>
      </c>
      <c r="AY69" s="60">
        <v>21177</v>
      </c>
      <c r="AZ69" s="60">
        <v>12358</v>
      </c>
    </row>
    <row r="70" spans="1:52">
      <c r="A70" s="1" t="s">
        <v>68</v>
      </c>
      <c r="B70" s="7" t="s">
        <v>259</v>
      </c>
      <c r="C70" s="7" t="s">
        <v>261</v>
      </c>
      <c r="D70" s="15">
        <v>13.729325982571581</v>
      </c>
      <c r="E70" s="15">
        <v>18.38</v>
      </c>
      <c r="F70" s="15" t="s">
        <v>280</v>
      </c>
      <c r="G70" s="12">
        <v>22492.474876377717</v>
      </c>
      <c r="H70" s="12">
        <v>11192</v>
      </c>
      <c r="I70" s="12">
        <v>11301</v>
      </c>
      <c r="J70" s="15">
        <v>6.9</v>
      </c>
      <c r="K70" s="15">
        <v>6.6</v>
      </c>
      <c r="L70" s="15">
        <v>7</v>
      </c>
      <c r="M70" s="15">
        <v>6.8</v>
      </c>
      <c r="N70" s="15">
        <v>16.663702649831048</v>
      </c>
      <c r="O70" s="15">
        <v>17.592921927796549</v>
      </c>
      <c r="P70" s="15">
        <v>16.86821981148853</v>
      </c>
      <c r="Q70" s="15">
        <v>6.4</v>
      </c>
      <c r="R70" s="15">
        <v>15.1</v>
      </c>
      <c r="S70" s="15">
        <v>24.6</v>
      </c>
      <c r="T70" s="15">
        <v>5.5</v>
      </c>
      <c r="U70" s="12">
        <v>-33</v>
      </c>
      <c r="V70" s="12">
        <v>904</v>
      </c>
      <c r="W70" s="15">
        <v>29.2</v>
      </c>
      <c r="X70" s="15">
        <v>18.2</v>
      </c>
      <c r="Y70" s="24">
        <v>120</v>
      </c>
      <c r="Z70" s="19">
        <v>45.5</v>
      </c>
      <c r="AA70" s="19">
        <v>26.3</v>
      </c>
      <c r="AB70" s="19">
        <v>196</v>
      </c>
      <c r="AC70" s="49">
        <v>5</v>
      </c>
      <c r="AD70" s="27">
        <v>5</v>
      </c>
      <c r="AE70" s="27">
        <v>1</v>
      </c>
      <c r="AF70" s="31">
        <v>3.9</v>
      </c>
      <c r="AG70" s="15">
        <v>61.107523409751373</v>
      </c>
      <c r="AH70" s="38">
        <v>19.2</v>
      </c>
      <c r="AI70" s="38">
        <v>2.9</v>
      </c>
      <c r="AJ70" s="39">
        <v>14</v>
      </c>
      <c r="AK70" s="38">
        <v>9.6999999999999993</v>
      </c>
      <c r="AL70" s="39">
        <v>3.1</v>
      </c>
      <c r="AM70" s="39">
        <v>13</v>
      </c>
      <c r="AN70" s="19"/>
      <c r="AO70" s="19"/>
      <c r="AP70" s="84">
        <v>0</v>
      </c>
      <c r="AQ70" s="60">
        <v>98396</v>
      </c>
      <c r="AR70" s="60">
        <v>61961</v>
      </c>
      <c r="AS70" s="60">
        <v>28961</v>
      </c>
      <c r="AT70" s="60">
        <v>38492</v>
      </c>
      <c r="AU70" s="24">
        <v>106592</v>
      </c>
      <c r="AV70" s="60">
        <v>9305.1120941701247</v>
      </c>
      <c r="AW70" s="24">
        <v>78375.263999999996</v>
      </c>
      <c r="AX70" s="24">
        <v>43257</v>
      </c>
      <c r="AY70" s="60">
        <v>17807.464</v>
      </c>
      <c r="AZ70" s="60">
        <v>7380.6</v>
      </c>
    </row>
    <row r="71" spans="1:52">
      <c r="A71" s="1" t="s">
        <v>69</v>
      </c>
      <c r="B71" s="7" t="s">
        <v>259</v>
      </c>
      <c r="C71" s="7" t="s">
        <v>261</v>
      </c>
      <c r="D71" s="15">
        <v>15.666063189861589</v>
      </c>
      <c r="E71" s="15">
        <v>38.21</v>
      </c>
      <c r="F71" s="15" t="s">
        <v>280</v>
      </c>
      <c r="G71" s="12">
        <v>73678.330234777328</v>
      </c>
      <c r="H71" s="12">
        <v>36869</v>
      </c>
      <c r="I71" s="12">
        <v>36809</v>
      </c>
      <c r="J71" s="15">
        <v>11.6</v>
      </c>
      <c r="K71" s="15">
        <v>10.9</v>
      </c>
      <c r="L71" s="15">
        <v>7.6</v>
      </c>
      <c r="M71" s="15">
        <v>5.8</v>
      </c>
      <c r="N71" s="15">
        <v>11.73213170824398</v>
      </c>
      <c r="O71" s="15">
        <v>23.342110263579357</v>
      </c>
      <c r="P71" s="15">
        <v>15.303075544938787</v>
      </c>
      <c r="Q71" s="15">
        <v>4.5999999999999996</v>
      </c>
      <c r="R71" s="15">
        <v>9.1</v>
      </c>
      <c r="S71" s="15">
        <v>33.6</v>
      </c>
      <c r="T71" s="15">
        <v>3</v>
      </c>
      <c r="U71" s="12">
        <v>840</v>
      </c>
      <c r="V71" s="12">
        <v>1970</v>
      </c>
      <c r="W71" s="15">
        <v>180.4</v>
      </c>
      <c r="X71" s="15">
        <v>172.5</v>
      </c>
      <c r="Y71" s="24">
        <v>928</v>
      </c>
      <c r="Z71" s="19">
        <v>44.8</v>
      </c>
      <c r="AA71" s="19">
        <v>20.9</v>
      </c>
      <c r="AB71" s="19">
        <v>107</v>
      </c>
      <c r="AC71" s="49">
        <v>7</v>
      </c>
      <c r="AD71" s="27">
        <v>7</v>
      </c>
      <c r="AE71" s="27">
        <v>8</v>
      </c>
      <c r="AF71" s="31">
        <v>2.6</v>
      </c>
      <c r="AG71" s="15">
        <v>77.577927891267194</v>
      </c>
      <c r="AH71" s="38">
        <v>208.3</v>
      </c>
      <c r="AI71" s="38">
        <v>201</v>
      </c>
      <c r="AJ71" s="40">
        <v>1076</v>
      </c>
      <c r="AK71" s="38">
        <v>12.2</v>
      </c>
      <c r="AL71" s="39">
        <v>11.7</v>
      </c>
      <c r="AM71" s="39">
        <v>32</v>
      </c>
      <c r="AN71" s="19"/>
      <c r="AO71" s="19"/>
      <c r="AP71" s="84">
        <v>0</v>
      </c>
      <c r="AQ71" s="60">
        <v>371827</v>
      </c>
      <c r="AR71" s="60">
        <v>266429</v>
      </c>
      <c r="AS71" s="60">
        <v>151098</v>
      </c>
      <c r="AT71" s="60">
        <v>169799</v>
      </c>
      <c r="AU71" s="24">
        <v>200324</v>
      </c>
      <c r="AV71" s="60">
        <v>7580.3563710022227</v>
      </c>
      <c r="AW71" s="24">
        <v>291932</v>
      </c>
      <c r="AX71" s="24">
        <v>169644</v>
      </c>
      <c r="AY71" s="60">
        <v>78531</v>
      </c>
      <c r="AZ71" s="60">
        <v>22363</v>
      </c>
    </row>
    <row r="72" spans="1:52">
      <c r="A72" s="1" t="s">
        <v>70</v>
      </c>
      <c r="B72" s="7" t="s">
        <v>259</v>
      </c>
      <c r="C72" s="7" t="s">
        <v>261</v>
      </c>
      <c r="D72" s="15">
        <v>17.287495765241097</v>
      </c>
      <c r="E72" s="15">
        <v>29.61</v>
      </c>
      <c r="F72" s="15" t="s">
        <v>280</v>
      </c>
      <c r="G72" s="12">
        <v>260453.25699794033</v>
      </c>
      <c r="H72" s="12">
        <v>127624</v>
      </c>
      <c r="I72" s="12">
        <v>132829</v>
      </c>
      <c r="J72" s="15">
        <v>6.7</v>
      </c>
      <c r="K72" s="15">
        <v>6.8</v>
      </c>
      <c r="L72" s="15">
        <v>6.4</v>
      </c>
      <c r="M72" s="15">
        <v>6.3</v>
      </c>
      <c r="N72" s="15">
        <v>12.662553320560715</v>
      </c>
      <c r="O72" s="15">
        <v>18.675922335315775</v>
      </c>
      <c r="P72" s="15">
        <v>18.025133133425225</v>
      </c>
      <c r="Q72" s="15">
        <v>5.4</v>
      </c>
      <c r="R72" s="15">
        <v>18.899999999999999</v>
      </c>
      <c r="S72" s="15">
        <v>23.7</v>
      </c>
      <c r="T72" s="15">
        <v>7.8</v>
      </c>
      <c r="U72" s="12">
        <v>1770</v>
      </c>
      <c r="V72" s="12">
        <v>5896</v>
      </c>
      <c r="W72" s="15">
        <v>614.9</v>
      </c>
      <c r="X72" s="15">
        <v>368.5</v>
      </c>
      <c r="Y72" s="24">
        <v>2344</v>
      </c>
      <c r="Z72" s="19">
        <v>442.2</v>
      </c>
      <c r="AA72" s="19">
        <v>322.3</v>
      </c>
      <c r="AB72" s="19">
        <v>1819</v>
      </c>
      <c r="AC72" s="49">
        <v>7</v>
      </c>
      <c r="AD72" s="27">
        <v>7</v>
      </c>
      <c r="AE72" s="27">
        <v>9</v>
      </c>
      <c r="AF72" s="31">
        <v>2.7</v>
      </c>
      <c r="AG72" s="15">
        <v>66.197927730180083</v>
      </c>
      <c r="AH72" s="38">
        <v>493.9</v>
      </c>
      <c r="AI72" s="38">
        <v>226</v>
      </c>
      <c r="AJ72" s="40">
        <v>1241</v>
      </c>
      <c r="AK72" s="38">
        <v>294.39999999999998</v>
      </c>
      <c r="AL72" s="39">
        <v>276.5</v>
      </c>
      <c r="AM72" s="40">
        <v>1428</v>
      </c>
      <c r="AN72" s="19"/>
      <c r="AO72" s="19"/>
      <c r="AP72" s="84">
        <v>0</v>
      </c>
      <c r="AQ72" s="60">
        <v>1557898</v>
      </c>
      <c r="AR72" s="60">
        <v>1141878</v>
      </c>
      <c r="AS72" s="60">
        <v>483815</v>
      </c>
      <c r="AT72" s="60">
        <v>575000</v>
      </c>
      <c r="AU72" s="24">
        <v>734496</v>
      </c>
      <c r="AV72" s="60">
        <v>8796.5841794718581</v>
      </c>
      <c r="AW72" s="24">
        <v>1195426</v>
      </c>
      <c r="AX72" s="24">
        <v>561337</v>
      </c>
      <c r="AY72" s="60">
        <v>404814</v>
      </c>
      <c r="AZ72" s="60">
        <v>64659</v>
      </c>
    </row>
    <row r="73" spans="1:52">
      <c r="A73" s="1" t="s">
        <v>71</v>
      </c>
      <c r="B73" s="11" t="s">
        <v>259</v>
      </c>
      <c r="C73" s="11" t="s">
        <v>260</v>
      </c>
      <c r="D73" s="15">
        <v>11.642420409023826</v>
      </c>
      <c r="E73" s="15">
        <v>8.86</v>
      </c>
      <c r="F73" s="15">
        <v>99.7</v>
      </c>
      <c r="G73" s="12">
        <v>79063.763256603517</v>
      </c>
      <c r="H73" s="12">
        <v>39629</v>
      </c>
      <c r="I73" s="12">
        <v>39434</v>
      </c>
      <c r="J73" s="15">
        <v>16.399999999999999</v>
      </c>
      <c r="K73" s="15">
        <v>13.9</v>
      </c>
      <c r="L73" s="15">
        <v>11.9</v>
      </c>
      <c r="M73" s="15">
        <v>11</v>
      </c>
      <c r="N73" s="15">
        <v>19.383031468177677</v>
      </c>
      <c r="O73" s="15">
        <v>15.163664879085298</v>
      </c>
      <c r="P73" s="15">
        <v>8.6448952747141554</v>
      </c>
      <c r="Q73" s="15">
        <v>1.3</v>
      </c>
      <c r="R73" s="15">
        <v>2.2999999999999998</v>
      </c>
      <c r="S73" s="15">
        <v>48.7</v>
      </c>
      <c r="T73" s="15">
        <v>0.8</v>
      </c>
      <c r="U73" s="12">
        <v>195</v>
      </c>
      <c r="V73" s="12">
        <v>1391</v>
      </c>
      <c r="W73" s="15">
        <v>76.400000000000006</v>
      </c>
      <c r="X73" s="15">
        <v>67.599999999999994</v>
      </c>
      <c r="Y73" s="24">
        <v>296</v>
      </c>
      <c r="Z73" s="19">
        <v>68.2</v>
      </c>
      <c r="AA73" s="19">
        <v>59.4</v>
      </c>
      <c r="AB73" s="19">
        <v>242</v>
      </c>
      <c r="AC73" s="49">
        <v>2</v>
      </c>
      <c r="AD73" s="27">
        <v>1</v>
      </c>
      <c r="AE73" s="27">
        <v>4</v>
      </c>
      <c r="AF73" s="31">
        <v>0.7</v>
      </c>
      <c r="AG73" s="15">
        <v>60.608668439993743</v>
      </c>
      <c r="AH73" s="38">
        <v>74.7</v>
      </c>
      <c r="AI73" s="38">
        <v>67.5</v>
      </c>
      <c r="AJ73" s="39">
        <v>352</v>
      </c>
      <c r="AK73" s="38">
        <v>44.3</v>
      </c>
      <c r="AL73" s="39">
        <v>41</v>
      </c>
      <c r="AM73" s="39">
        <v>219</v>
      </c>
      <c r="AN73" s="19"/>
      <c r="AO73" s="19"/>
      <c r="AP73" s="84">
        <v>0</v>
      </c>
      <c r="AQ73" s="60">
        <v>82118</v>
      </c>
      <c r="AR73" s="60">
        <v>35149</v>
      </c>
      <c r="AS73" s="60">
        <v>16535</v>
      </c>
      <c r="AT73" s="60">
        <v>50754.599000000002</v>
      </c>
      <c r="AU73" s="24">
        <v>381886</v>
      </c>
      <c r="AV73" s="60">
        <v>5872.4753398481953</v>
      </c>
      <c r="AW73" s="24">
        <v>74155.72</v>
      </c>
      <c r="AX73" s="24">
        <v>51890.599000000002</v>
      </c>
      <c r="AY73" s="60">
        <v>10838.954</v>
      </c>
      <c r="AZ73" s="60">
        <v>5167.2330000000002</v>
      </c>
    </row>
    <row r="74" spans="1:52">
      <c r="A74" s="1" t="s">
        <v>72</v>
      </c>
      <c r="B74" s="11" t="s">
        <v>259</v>
      </c>
      <c r="C74" s="11" t="s">
        <v>261</v>
      </c>
      <c r="D74" s="15">
        <v>13.764472882388787</v>
      </c>
      <c r="E74" s="15">
        <v>42.35</v>
      </c>
      <c r="F74" s="15" t="s">
        <v>280</v>
      </c>
      <c r="G74" s="12">
        <v>150748.37528089684</v>
      </c>
      <c r="H74" s="12">
        <v>73696</v>
      </c>
      <c r="I74" s="12">
        <v>77053</v>
      </c>
      <c r="J74" s="15">
        <v>8.8000000000000007</v>
      </c>
      <c r="K74" s="15">
        <v>9.6</v>
      </c>
      <c r="L74" s="15">
        <v>8.6999999999999993</v>
      </c>
      <c r="M74" s="15">
        <v>6.6</v>
      </c>
      <c r="N74" s="15">
        <v>10.75569825138642</v>
      </c>
      <c r="O74" s="15">
        <v>19.793960782232599</v>
      </c>
      <c r="P74" s="15">
        <v>15.74150237482421</v>
      </c>
      <c r="Q74" s="15">
        <v>4</v>
      </c>
      <c r="R74" s="15">
        <v>16.100000000000001</v>
      </c>
      <c r="S74" s="15">
        <v>31.3</v>
      </c>
      <c r="T74" s="15">
        <v>7.2</v>
      </c>
      <c r="U74" s="12">
        <v>1311</v>
      </c>
      <c r="V74" s="12">
        <v>3009</v>
      </c>
      <c r="W74" s="15">
        <v>137.1</v>
      </c>
      <c r="X74" s="15">
        <v>109.2</v>
      </c>
      <c r="Y74" s="24">
        <v>525</v>
      </c>
      <c r="Z74" s="19">
        <v>190</v>
      </c>
      <c r="AA74" s="19">
        <v>165.8</v>
      </c>
      <c r="AB74" s="19">
        <v>847</v>
      </c>
      <c r="AC74" s="49">
        <v>7</v>
      </c>
      <c r="AD74" s="27">
        <v>7</v>
      </c>
      <c r="AE74" s="27">
        <v>8</v>
      </c>
      <c r="AF74" s="31">
        <v>2.1</v>
      </c>
      <c r="AG74" s="15">
        <v>68.868847310091084</v>
      </c>
      <c r="AH74" s="38">
        <v>225.7</v>
      </c>
      <c r="AI74" s="38">
        <v>179.7</v>
      </c>
      <c r="AJ74" s="39">
        <v>978</v>
      </c>
      <c r="AK74" s="38">
        <v>186.6</v>
      </c>
      <c r="AL74" s="39">
        <v>170.9</v>
      </c>
      <c r="AM74" s="40">
        <v>1123</v>
      </c>
      <c r="AN74" s="19"/>
      <c r="AO74" s="19"/>
      <c r="AP74" s="84">
        <v>0</v>
      </c>
      <c r="AQ74" s="60">
        <v>786160</v>
      </c>
      <c r="AR74" s="60">
        <v>524322</v>
      </c>
      <c r="AS74" s="60">
        <v>280685</v>
      </c>
      <c r="AT74" s="60">
        <v>298916.40999999997</v>
      </c>
      <c r="AU74" s="24">
        <v>433232</v>
      </c>
      <c r="AV74" s="60">
        <v>8085.5465123839349</v>
      </c>
      <c r="AW74" s="24">
        <v>638628</v>
      </c>
      <c r="AX74" s="24">
        <v>332059</v>
      </c>
      <c r="AY74" s="60">
        <v>206098</v>
      </c>
      <c r="AZ74" s="60">
        <v>53269</v>
      </c>
    </row>
    <row r="75" spans="1:52">
      <c r="A75" s="1" t="s">
        <v>73</v>
      </c>
      <c r="B75" s="11" t="s">
        <v>259</v>
      </c>
      <c r="C75" s="11" t="s">
        <v>262</v>
      </c>
      <c r="D75" s="15">
        <v>15.506766086716375</v>
      </c>
      <c r="E75" s="15">
        <v>11.09</v>
      </c>
      <c r="F75" s="15">
        <v>24.8</v>
      </c>
      <c r="G75" s="12">
        <v>79132.058296562478</v>
      </c>
      <c r="H75" s="12">
        <v>40195</v>
      </c>
      <c r="I75" s="12">
        <v>38937</v>
      </c>
      <c r="J75" s="15">
        <v>9.1</v>
      </c>
      <c r="K75" s="15">
        <v>9.1</v>
      </c>
      <c r="L75" s="15">
        <v>8</v>
      </c>
      <c r="M75" s="15">
        <v>6.9</v>
      </c>
      <c r="N75" s="15">
        <v>13.971591770712227</v>
      </c>
      <c r="O75" s="15">
        <v>19.716423191629175</v>
      </c>
      <c r="P75" s="15">
        <v>15.486781580144568</v>
      </c>
      <c r="Q75" s="15">
        <v>4.5999999999999996</v>
      </c>
      <c r="R75" s="15">
        <v>13.1</v>
      </c>
      <c r="S75" s="15">
        <v>30.4</v>
      </c>
      <c r="T75" s="15">
        <v>5.0999999999999996</v>
      </c>
      <c r="U75" s="12">
        <v>110</v>
      </c>
      <c r="V75" s="12">
        <v>1614</v>
      </c>
      <c r="W75" s="15">
        <v>23.9</v>
      </c>
      <c r="X75" s="15">
        <v>9</v>
      </c>
      <c r="Y75" s="24">
        <v>25</v>
      </c>
      <c r="Z75" s="19">
        <v>208.9</v>
      </c>
      <c r="AA75" s="19">
        <v>143.4</v>
      </c>
      <c r="AB75" s="19">
        <v>698</v>
      </c>
      <c r="AC75" s="49">
        <v>4</v>
      </c>
      <c r="AD75" s="27">
        <v>5</v>
      </c>
      <c r="AE75" s="27">
        <v>8</v>
      </c>
      <c r="AF75" s="31">
        <v>8.9</v>
      </c>
      <c r="AG75" s="15">
        <v>63.829008591394668</v>
      </c>
      <c r="AH75" s="38">
        <v>52.2</v>
      </c>
      <c r="AI75" s="38">
        <v>41.9</v>
      </c>
      <c r="AJ75" s="39">
        <v>356</v>
      </c>
      <c r="AK75" s="38">
        <v>136.1</v>
      </c>
      <c r="AL75" s="39">
        <v>130.5</v>
      </c>
      <c r="AM75" s="40">
        <v>1154</v>
      </c>
      <c r="AN75" s="19"/>
      <c r="AO75" s="19"/>
      <c r="AP75" s="84">
        <v>0</v>
      </c>
      <c r="AQ75" s="60">
        <v>381173</v>
      </c>
      <c r="AR75" s="60">
        <v>237473</v>
      </c>
      <c r="AS75" s="60">
        <v>85104</v>
      </c>
      <c r="AT75" s="60">
        <v>104262</v>
      </c>
      <c r="AU75" s="24">
        <v>280349</v>
      </c>
      <c r="AV75" s="60">
        <v>8364.5239900041015</v>
      </c>
      <c r="AW75" s="24">
        <v>277166</v>
      </c>
      <c r="AX75" s="24">
        <v>107105</v>
      </c>
      <c r="AY75" s="60">
        <v>91685</v>
      </c>
      <c r="AZ75" s="60">
        <v>49202</v>
      </c>
    </row>
    <row r="76" spans="1:52">
      <c r="A76" s="1" t="s">
        <v>74</v>
      </c>
      <c r="B76" s="11" t="s">
        <v>259</v>
      </c>
      <c r="C76" s="11" t="s">
        <v>261</v>
      </c>
      <c r="D76" s="15">
        <v>16.920340235759831</v>
      </c>
      <c r="E76" s="15">
        <v>46.39</v>
      </c>
      <c r="F76" s="15" t="s">
        <v>280</v>
      </c>
      <c r="G76" s="12">
        <v>172486.08347094219</v>
      </c>
      <c r="H76" s="12">
        <v>83204</v>
      </c>
      <c r="I76" s="12">
        <v>89283</v>
      </c>
      <c r="J76" s="15">
        <v>6.8</v>
      </c>
      <c r="K76" s="15">
        <v>6.3</v>
      </c>
      <c r="L76" s="15">
        <v>5.6</v>
      </c>
      <c r="M76" s="15">
        <v>5</v>
      </c>
      <c r="N76" s="15">
        <v>13.290353999744905</v>
      </c>
      <c r="O76" s="15">
        <v>24.098187679000034</v>
      </c>
      <c r="P76" s="15">
        <v>17.03036768201477</v>
      </c>
      <c r="Q76" s="15">
        <v>4.5</v>
      </c>
      <c r="R76" s="15">
        <v>17.2</v>
      </c>
      <c r="S76" s="15">
        <v>21.8</v>
      </c>
      <c r="T76" s="15">
        <v>8.5</v>
      </c>
      <c r="U76" s="12">
        <v>1499</v>
      </c>
      <c r="V76" s="12">
        <v>3980</v>
      </c>
      <c r="W76" s="15">
        <v>317</v>
      </c>
      <c r="X76" s="15">
        <v>279.10000000000002</v>
      </c>
      <c r="Y76" s="24">
        <v>1564</v>
      </c>
      <c r="Z76" s="19">
        <v>317.89999999999998</v>
      </c>
      <c r="AA76" s="19">
        <v>294.2</v>
      </c>
      <c r="AB76" s="19">
        <v>1680</v>
      </c>
      <c r="AC76" s="49">
        <v>8</v>
      </c>
      <c r="AD76" s="27">
        <v>8</v>
      </c>
      <c r="AE76" s="27">
        <v>10</v>
      </c>
      <c r="AF76" s="31">
        <v>0.4</v>
      </c>
      <c r="AG76" s="15">
        <v>65.232461975477335</v>
      </c>
      <c r="AH76" s="38">
        <v>291.60000000000002</v>
      </c>
      <c r="AI76" s="38">
        <v>167</v>
      </c>
      <c r="AJ76" s="39">
        <v>876</v>
      </c>
      <c r="AK76" s="38">
        <v>131</v>
      </c>
      <c r="AL76" s="39">
        <v>115.8</v>
      </c>
      <c r="AM76" s="39">
        <v>668</v>
      </c>
      <c r="AN76" s="19"/>
      <c r="AO76" s="19"/>
      <c r="AP76" s="84">
        <v>0</v>
      </c>
      <c r="AQ76" s="60">
        <v>1260339</v>
      </c>
      <c r="AR76" s="60">
        <v>806510</v>
      </c>
      <c r="AS76" s="60">
        <v>373903</v>
      </c>
      <c r="AT76" s="60">
        <v>401991.1</v>
      </c>
      <c r="AU76" s="24">
        <v>436137</v>
      </c>
      <c r="AV76" s="60">
        <v>9823.3780134815679</v>
      </c>
      <c r="AW76" s="24">
        <v>982544.55</v>
      </c>
      <c r="AX76" s="24">
        <v>437409.1</v>
      </c>
      <c r="AY76" s="60">
        <v>435475.86</v>
      </c>
      <c r="AZ76" s="60">
        <v>19917.669999999998</v>
      </c>
    </row>
    <row r="77" spans="1:52">
      <c r="A77" s="1" t="s">
        <v>75</v>
      </c>
      <c r="B77" s="7" t="s">
        <v>259</v>
      </c>
      <c r="C77" s="7" t="s">
        <v>261</v>
      </c>
      <c r="D77" s="15">
        <v>14.166218265420927</v>
      </c>
      <c r="E77" s="15">
        <v>58.54</v>
      </c>
      <c r="F77" s="15" t="s">
        <v>280</v>
      </c>
      <c r="G77" s="12">
        <v>48180.505036247981</v>
      </c>
      <c r="H77" s="12">
        <v>23125</v>
      </c>
      <c r="I77" s="12">
        <v>25056</v>
      </c>
      <c r="J77" s="15">
        <v>6.2</v>
      </c>
      <c r="K77" s="15">
        <v>7.8</v>
      </c>
      <c r="L77" s="15">
        <v>8.9</v>
      </c>
      <c r="M77" s="15">
        <v>8.1</v>
      </c>
      <c r="N77" s="15">
        <v>9.3792158734770972</v>
      </c>
      <c r="O77" s="15">
        <v>16.049895186899398</v>
      </c>
      <c r="P77" s="15">
        <v>19.970527801415496</v>
      </c>
      <c r="Q77" s="15">
        <v>4.3</v>
      </c>
      <c r="R77" s="15">
        <v>19.399999999999999</v>
      </c>
      <c r="S77" s="15">
        <v>28</v>
      </c>
      <c r="T77" s="15">
        <v>9.6</v>
      </c>
      <c r="U77" s="12">
        <v>23</v>
      </c>
      <c r="V77" s="12">
        <v>757</v>
      </c>
      <c r="W77" s="15">
        <v>115.6</v>
      </c>
      <c r="X77" s="15">
        <v>109.9</v>
      </c>
      <c r="Y77" s="24">
        <v>430</v>
      </c>
      <c r="Z77" s="19">
        <v>59.1</v>
      </c>
      <c r="AA77" s="19">
        <v>58</v>
      </c>
      <c r="AB77" s="19">
        <v>243</v>
      </c>
      <c r="AC77" s="49">
        <v>9</v>
      </c>
      <c r="AD77" s="27">
        <v>9</v>
      </c>
      <c r="AE77" s="27">
        <v>8</v>
      </c>
      <c r="AF77" s="31">
        <v>0.7</v>
      </c>
      <c r="AG77" s="15">
        <v>71.422600700067918</v>
      </c>
      <c r="AH77" s="38">
        <v>37.5</v>
      </c>
      <c r="AI77" s="38">
        <v>34.5</v>
      </c>
      <c r="AJ77" s="39">
        <v>110</v>
      </c>
      <c r="AK77" s="38">
        <v>67.2</v>
      </c>
      <c r="AL77" s="39">
        <v>63.8</v>
      </c>
      <c r="AM77" s="39">
        <v>227</v>
      </c>
      <c r="AN77" s="19"/>
      <c r="AO77" s="19"/>
      <c r="AP77" s="84">
        <v>0</v>
      </c>
      <c r="AQ77" s="60">
        <v>365262</v>
      </c>
      <c r="AR77" s="60">
        <v>266631</v>
      </c>
      <c r="AS77" s="60">
        <v>154574</v>
      </c>
      <c r="AT77" s="60">
        <v>165657.64000000001</v>
      </c>
      <c r="AU77" s="24">
        <v>134850</v>
      </c>
      <c r="AV77" s="60">
        <v>10377.03941923924</v>
      </c>
      <c r="AW77" s="24">
        <v>282329.34999999998</v>
      </c>
      <c r="AX77" s="24">
        <v>173780.2</v>
      </c>
      <c r="AY77" s="60">
        <v>74347.37</v>
      </c>
      <c r="AZ77" s="60">
        <v>5047.37</v>
      </c>
    </row>
    <row r="78" spans="1:52">
      <c r="A78" s="1" t="s">
        <v>76</v>
      </c>
      <c r="B78" s="7" t="s">
        <v>259</v>
      </c>
      <c r="C78" s="7" t="s">
        <v>261</v>
      </c>
      <c r="D78" s="15">
        <v>14.511494252873563</v>
      </c>
      <c r="E78" s="15">
        <v>47.06</v>
      </c>
      <c r="F78" s="15" t="s">
        <v>280</v>
      </c>
      <c r="G78" s="12">
        <v>80260.449650831812</v>
      </c>
      <c r="H78" s="12">
        <v>39063</v>
      </c>
      <c r="I78" s="12">
        <v>41198</v>
      </c>
      <c r="J78" s="15">
        <v>7.1</v>
      </c>
      <c r="K78" s="15">
        <v>7.6</v>
      </c>
      <c r="L78" s="15">
        <v>7.7</v>
      </c>
      <c r="M78" s="15">
        <v>7.4</v>
      </c>
      <c r="N78" s="15">
        <v>11.389234986294543</v>
      </c>
      <c r="O78" s="15">
        <v>15.969349613755297</v>
      </c>
      <c r="P78" s="15">
        <v>18.127336157488163</v>
      </c>
      <c r="Q78" s="15">
        <v>4.8</v>
      </c>
      <c r="R78" s="15">
        <v>19.7</v>
      </c>
      <c r="S78" s="15">
        <v>27.1</v>
      </c>
      <c r="T78" s="15">
        <v>8.8000000000000007</v>
      </c>
      <c r="U78" s="12">
        <v>1228</v>
      </c>
      <c r="V78" s="12">
        <v>1462</v>
      </c>
      <c r="W78" s="15">
        <v>199.7</v>
      </c>
      <c r="X78" s="15">
        <v>126.2</v>
      </c>
      <c r="Y78" s="24">
        <v>873</v>
      </c>
      <c r="Z78" s="19">
        <v>233.4</v>
      </c>
      <c r="AA78" s="19">
        <v>187.4</v>
      </c>
      <c r="AB78" s="19">
        <v>889</v>
      </c>
      <c r="AC78" s="49">
        <v>8</v>
      </c>
      <c r="AD78" s="27">
        <v>8</v>
      </c>
      <c r="AE78" s="27">
        <v>8</v>
      </c>
      <c r="AF78" s="31">
        <v>1.9</v>
      </c>
      <c r="AG78" s="15">
        <v>66.605409751335216</v>
      </c>
      <c r="AH78" s="38">
        <v>122.9</v>
      </c>
      <c r="AI78" s="38">
        <v>120</v>
      </c>
      <c r="AJ78" s="39">
        <v>601</v>
      </c>
      <c r="AK78" s="38">
        <v>61.3</v>
      </c>
      <c r="AL78" s="39">
        <v>46.7</v>
      </c>
      <c r="AM78" s="39">
        <v>194</v>
      </c>
      <c r="AN78" s="19"/>
      <c r="AO78" s="19"/>
      <c r="AP78" s="84">
        <v>0</v>
      </c>
      <c r="AQ78" s="60">
        <v>655821</v>
      </c>
      <c r="AR78" s="60">
        <v>370158</v>
      </c>
      <c r="AS78" s="60">
        <v>194896</v>
      </c>
      <c r="AT78" s="60">
        <v>205651</v>
      </c>
      <c r="AU78" s="24">
        <v>257457</v>
      </c>
      <c r="AV78" s="60">
        <v>11372.251264113625</v>
      </c>
      <c r="AW78" s="24">
        <v>424183</v>
      </c>
      <c r="AX78" s="24">
        <v>230179</v>
      </c>
      <c r="AY78" s="60">
        <v>116905</v>
      </c>
      <c r="AZ78" s="60">
        <v>39938</v>
      </c>
    </row>
    <row r="79" spans="1:52">
      <c r="A79" s="1" t="s">
        <v>77</v>
      </c>
      <c r="B79" s="7" t="s">
        <v>259</v>
      </c>
      <c r="C79" s="7" t="s">
        <v>261</v>
      </c>
      <c r="D79" s="15">
        <v>20.484171322160151</v>
      </c>
      <c r="E79" s="15">
        <v>22.7</v>
      </c>
      <c r="F79" s="15" t="s">
        <v>280</v>
      </c>
      <c r="G79" s="12">
        <v>33002.318323581116</v>
      </c>
      <c r="H79" s="12">
        <v>17105</v>
      </c>
      <c r="I79" s="12">
        <v>15898</v>
      </c>
      <c r="J79" s="15">
        <v>11.7</v>
      </c>
      <c r="K79" s="15">
        <v>9.6</v>
      </c>
      <c r="L79" s="15">
        <v>7.2</v>
      </c>
      <c r="M79" s="15">
        <v>5.5</v>
      </c>
      <c r="N79" s="15">
        <v>17.544391249015213</v>
      </c>
      <c r="O79" s="15">
        <v>21.362341676262044</v>
      </c>
      <c r="P79" s="15">
        <v>13.211320526028725</v>
      </c>
      <c r="Q79" s="15">
        <v>4.4000000000000004</v>
      </c>
      <c r="R79" s="15">
        <v>9.4</v>
      </c>
      <c r="S79" s="15">
        <v>31.5</v>
      </c>
      <c r="T79" s="15">
        <v>3.5</v>
      </c>
      <c r="U79" s="12">
        <v>1863</v>
      </c>
      <c r="V79" s="12">
        <v>1135</v>
      </c>
      <c r="W79" s="15">
        <v>132.9</v>
      </c>
      <c r="X79" s="15">
        <v>122.1</v>
      </c>
      <c r="Y79" s="24">
        <v>857</v>
      </c>
      <c r="Z79" s="19">
        <v>125</v>
      </c>
      <c r="AA79" s="19">
        <v>117.7</v>
      </c>
      <c r="AB79" s="19">
        <v>759</v>
      </c>
      <c r="AC79" s="49">
        <v>5</v>
      </c>
      <c r="AD79" s="27">
        <v>5</v>
      </c>
      <c r="AE79" s="27">
        <v>4</v>
      </c>
      <c r="AF79" s="31">
        <v>6.8</v>
      </c>
      <c r="AG79" s="15">
        <v>65.555697987437512</v>
      </c>
      <c r="AH79" s="38">
        <v>53.2</v>
      </c>
      <c r="AI79" s="38">
        <v>49</v>
      </c>
      <c r="AJ79" s="39">
        <v>216</v>
      </c>
      <c r="AK79" s="38">
        <v>46.5</v>
      </c>
      <c r="AL79" s="39">
        <v>40.200000000000003</v>
      </c>
      <c r="AM79" s="39">
        <v>118</v>
      </c>
      <c r="AN79" s="24"/>
      <c r="AO79" s="19"/>
      <c r="AP79" s="84">
        <v>0</v>
      </c>
      <c r="AQ79" s="60">
        <v>118276</v>
      </c>
      <c r="AR79" s="60">
        <v>52442</v>
      </c>
      <c r="AS79" s="60">
        <v>24099</v>
      </c>
      <c r="AT79" s="60">
        <v>47633.35</v>
      </c>
      <c r="AU79" s="24">
        <v>225439</v>
      </c>
      <c r="AV79" s="60">
        <v>10413.995666311308</v>
      </c>
      <c r="AW79" s="24">
        <v>102299.9</v>
      </c>
      <c r="AX79" s="24">
        <v>52166.35</v>
      </c>
      <c r="AY79" s="60">
        <v>13638.55</v>
      </c>
      <c r="AZ79" s="60">
        <v>28878.81</v>
      </c>
    </row>
    <row r="80" spans="1:52">
      <c r="A80" s="1" t="s">
        <v>78</v>
      </c>
      <c r="B80" s="7" t="s">
        <v>259</v>
      </c>
      <c r="C80" s="7" t="s">
        <v>260</v>
      </c>
      <c r="D80" s="15">
        <v>12.99985667192203</v>
      </c>
      <c r="E80" s="15">
        <v>13.24</v>
      </c>
      <c r="F80" s="15">
        <v>99.6</v>
      </c>
      <c r="G80" s="12">
        <v>43543.497797559197</v>
      </c>
      <c r="H80" s="12">
        <v>21914</v>
      </c>
      <c r="I80" s="12">
        <v>21630</v>
      </c>
      <c r="J80" s="15">
        <v>7.7</v>
      </c>
      <c r="K80" s="15">
        <v>7.9</v>
      </c>
      <c r="L80" s="15">
        <v>8.1</v>
      </c>
      <c r="M80" s="15">
        <v>9.1999999999999993</v>
      </c>
      <c r="N80" s="15">
        <v>18.152171416760442</v>
      </c>
      <c r="O80" s="15">
        <v>18.871001079392784</v>
      </c>
      <c r="P80" s="15">
        <v>17.745676687412441</v>
      </c>
      <c r="Q80" s="15">
        <v>4.4000000000000004</v>
      </c>
      <c r="R80" s="15">
        <v>8</v>
      </c>
      <c r="S80" s="15">
        <v>28.9</v>
      </c>
      <c r="T80" s="15">
        <v>3.1</v>
      </c>
      <c r="U80" s="12">
        <v>-5</v>
      </c>
      <c r="V80" s="12">
        <v>847</v>
      </c>
      <c r="W80" s="15">
        <v>47.6</v>
      </c>
      <c r="X80" s="15">
        <v>42.1</v>
      </c>
      <c r="Y80" s="24">
        <v>200</v>
      </c>
      <c r="Z80" s="19">
        <v>25.3</v>
      </c>
      <c r="AA80" s="19">
        <v>23.1</v>
      </c>
      <c r="AB80" s="19">
        <v>107</v>
      </c>
      <c r="AC80" s="49">
        <v>3</v>
      </c>
      <c r="AD80" s="27">
        <v>3</v>
      </c>
      <c r="AE80" s="27">
        <v>5</v>
      </c>
      <c r="AF80" s="31">
        <v>0.6</v>
      </c>
      <c r="AG80" s="15">
        <v>51.465587044534409</v>
      </c>
      <c r="AH80" s="38">
        <v>64</v>
      </c>
      <c r="AI80" s="38">
        <v>58.5</v>
      </c>
      <c r="AJ80" s="39">
        <v>312</v>
      </c>
      <c r="AK80" s="38">
        <v>46.7</v>
      </c>
      <c r="AL80" s="39">
        <v>42.6</v>
      </c>
      <c r="AM80" s="39">
        <v>205</v>
      </c>
      <c r="AN80" s="19"/>
      <c r="AO80" s="19"/>
      <c r="AP80" s="84">
        <v>0</v>
      </c>
      <c r="AQ80" s="60">
        <v>97770</v>
      </c>
      <c r="AR80" s="60">
        <v>57502</v>
      </c>
      <c r="AS80" s="60">
        <v>35949</v>
      </c>
      <c r="AT80" s="60">
        <v>103307.1</v>
      </c>
      <c r="AU80" s="24">
        <v>160532</v>
      </c>
      <c r="AV80" s="60">
        <v>5930.7362307140093</v>
      </c>
      <c r="AW80" s="24">
        <v>95205.4</v>
      </c>
      <c r="AX80" s="24">
        <v>69700.100000000006</v>
      </c>
      <c r="AY80" s="60">
        <v>18614.900000000001</v>
      </c>
      <c r="AZ80" s="60">
        <v>586.79999999999995</v>
      </c>
    </row>
    <row r="81" spans="1:52" ht="17" thickBot="1">
      <c r="A81" s="2" t="s">
        <v>79</v>
      </c>
      <c r="B81" s="7" t="s">
        <v>259</v>
      </c>
      <c r="C81" s="7" t="s">
        <v>262</v>
      </c>
      <c r="D81" s="16">
        <v>16.58622760022169</v>
      </c>
      <c r="E81" s="16">
        <v>48.17</v>
      </c>
      <c r="F81" s="16">
        <v>4.8</v>
      </c>
      <c r="G81" s="13">
        <v>474529.60197924468</v>
      </c>
      <c r="H81" s="13">
        <v>236323</v>
      </c>
      <c r="I81" s="13">
        <v>238206</v>
      </c>
      <c r="J81" s="16">
        <v>6.8</v>
      </c>
      <c r="K81" s="16">
        <v>6.1</v>
      </c>
      <c r="L81" s="16">
        <v>5.3</v>
      </c>
      <c r="M81" s="16">
        <v>4.4000000000000004</v>
      </c>
      <c r="N81" s="16">
        <v>13.949381493267021</v>
      </c>
      <c r="O81" s="16">
        <v>27.867152761679982</v>
      </c>
      <c r="P81" s="16">
        <v>15.991823488504414</v>
      </c>
      <c r="Q81" s="16">
        <v>4.2</v>
      </c>
      <c r="R81" s="16">
        <v>15.4</v>
      </c>
      <c r="S81" s="16">
        <v>20.9</v>
      </c>
      <c r="T81" s="16">
        <v>7.1</v>
      </c>
      <c r="U81" s="17">
        <v>2798</v>
      </c>
      <c r="V81" s="17">
        <v>10137</v>
      </c>
      <c r="W81" s="16">
        <v>720.3</v>
      </c>
      <c r="X81" s="16">
        <v>549.29999999999995</v>
      </c>
      <c r="Y81" s="25">
        <v>4475</v>
      </c>
      <c r="Z81" s="25">
        <v>493.6</v>
      </c>
      <c r="AA81" s="25">
        <v>398</v>
      </c>
      <c r="AB81" s="25">
        <v>2867</v>
      </c>
      <c r="AC81" s="49">
        <v>8</v>
      </c>
      <c r="AD81" s="28">
        <v>8</v>
      </c>
      <c r="AE81" s="28">
        <v>10</v>
      </c>
      <c r="AF81" s="32">
        <v>1.7</v>
      </c>
      <c r="AG81" s="16">
        <v>59.61825477684237</v>
      </c>
      <c r="AH81" s="38">
        <v>589.4</v>
      </c>
      <c r="AI81" s="38">
        <v>299</v>
      </c>
      <c r="AJ81" s="40">
        <v>2029</v>
      </c>
      <c r="AK81" s="38">
        <v>557.1</v>
      </c>
      <c r="AL81" s="39">
        <v>314.7</v>
      </c>
      <c r="AM81" s="40">
        <v>1833</v>
      </c>
      <c r="AN81" s="19"/>
      <c r="AO81" s="19"/>
      <c r="AP81" s="85">
        <v>0</v>
      </c>
      <c r="AQ81" s="61">
        <v>5441893</v>
      </c>
      <c r="AR81" s="61">
        <v>3621685</v>
      </c>
      <c r="AS81" s="61">
        <v>1042969</v>
      </c>
      <c r="AT81" s="61">
        <v>1181944</v>
      </c>
      <c r="AU81" s="63">
        <v>1161178</v>
      </c>
      <c r="AV81" s="61">
        <v>13907.678198521866</v>
      </c>
      <c r="AW81" s="63">
        <v>4257399.4040000001</v>
      </c>
      <c r="AX81" s="63">
        <v>1183001.7339999999</v>
      </c>
      <c r="AY81" s="61">
        <v>2444072.1519999998</v>
      </c>
      <c r="AZ81" s="61">
        <v>139114.08600000001</v>
      </c>
    </row>
    <row r="82" spans="1:52">
      <c r="A82" s="3" t="s">
        <v>80</v>
      </c>
      <c r="B82" s="7" t="s">
        <v>263</v>
      </c>
      <c r="C82" s="7" t="s">
        <v>260</v>
      </c>
      <c r="D82" s="15">
        <v>9.029927760577916</v>
      </c>
      <c r="E82" s="15">
        <v>16.100000000000001</v>
      </c>
      <c r="F82" s="15">
        <v>99</v>
      </c>
      <c r="G82" s="12">
        <v>7942.3156684100049</v>
      </c>
      <c r="H82" s="12">
        <v>3949</v>
      </c>
      <c r="I82" s="12">
        <v>3994</v>
      </c>
      <c r="J82" s="15">
        <v>9.6</v>
      </c>
      <c r="K82" s="15">
        <v>9.1999999999999993</v>
      </c>
      <c r="L82" s="15">
        <v>9.3000000000000007</v>
      </c>
      <c r="M82" s="15">
        <v>8.6999999999999993</v>
      </c>
      <c r="N82" s="15">
        <v>16.834550491060185</v>
      </c>
      <c r="O82" s="15">
        <v>20.246789221858474</v>
      </c>
      <c r="P82" s="15">
        <v>14.94585746663309</v>
      </c>
      <c r="Q82" s="15">
        <v>4.3</v>
      </c>
      <c r="R82" s="15">
        <v>7</v>
      </c>
      <c r="S82" s="15">
        <v>33.299999999999997</v>
      </c>
      <c r="T82" s="15">
        <v>2.4</v>
      </c>
      <c r="U82" s="12">
        <v>-21</v>
      </c>
      <c r="V82" s="12">
        <v>142</v>
      </c>
      <c r="W82" s="15">
        <v>14.5</v>
      </c>
      <c r="X82" s="15">
        <v>14.5</v>
      </c>
      <c r="Y82" s="24">
        <v>77</v>
      </c>
      <c r="Z82" s="19">
        <v>4.2</v>
      </c>
      <c r="AA82" s="19">
        <v>3.3</v>
      </c>
      <c r="AB82" s="19">
        <v>16</v>
      </c>
      <c r="AC82" s="49">
        <v>3</v>
      </c>
      <c r="AD82" s="27">
        <v>3</v>
      </c>
      <c r="AE82" s="27">
        <v>6</v>
      </c>
      <c r="AF82" s="31">
        <v>0</v>
      </c>
      <c r="AG82" s="15">
        <v>55.14330585001963</v>
      </c>
      <c r="AH82" s="44">
        <v>4.8</v>
      </c>
      <c r="AI82" s="44">
        <v>3.9</v>
      </c>
      <c r="AJ82" s="44">
        <v>21</v>
      </c>
      <c r="AK82" s="44">
        <v>5.2</v>
      </c>
      <c r="AL82" s="44">
        <v>5</v>
      </c>
      <c r="AM82" s="44">
        <v>26</v>
      </c>
      <c r="AN82" s="19"/>
      <c r="AO82" s="19"/>
      <c r="AP82" s="84">
        <v>0</v>
      </c>
      <c r="AQ82" s="60">
        <v>18224</v>
      </c>
      <c r="AR82" s="60">
        <v>9380</v>
      </c>
      <c r="AS82" s="60">
        <v>7726</v>
      </c>
      <c r="AT82" s="60">
        <v>11688.754000000001</v>
      </c>
      <c r="AU82" s="24">
        <v>45869</v>
      </c>
      <c r="AV82" s="60">
        <v>8053.4446967914255</v>
      </c>
      <c r="AW82" s="24">
        <v>12622.332</v>
      </c>
      <c r="AX82" s="24">
        <v>10612.754000000001</v>
      </c>
      <c r="AY82" s="60">
        <v>1715.819</v>
      </c>
      <c r="AZ82" s="60">
        <v>53.448</v>
      </c>
    </row>
    <row r="83" spans="1:52">
      <c r="A83" s="3" t="s">
        <v>81</v>
      </c>
      <c r="B83" s="7" t="s">
        <v>263</v>
      </c>
      <c r="C83" s="7" t="s">
        <v>260</v>
      </c>
      <c r="D83" s="15">
        <v>11.970074812967582</v>
      </c>
      <c r="E83" s="15">
        <v>14.37</v>
      </c>
      <c r="F83" s="15">
        <v>99.8</v>
      </c>
      <c r="G83" s="12">
        <v>14686.962578266915</v>
      </c>
      <c r="H83" s="12">
        <v>7538</v>
      </c>
      <c r="I83" s="12">
        <v>7149</v>
      </c>
      <c r="J83" s="15">
        <v>8.9</v>
      </c>
      <c r="K83" s="15">
        <v>7.9</v>
      </c>
      <c r="L83" s="15">
        <v>8.1</v>
      </c>
      <c r="M83" s="15">
        <v>8.6999999999999993</v>
      </c>
      <c r="N83" s="15">
        <v>18.022741199700416</v>
      </c>
      <c r="O83" s="15">
        <v>20.494314700074895</v>
      </c>
      <c r="P83" s="15">
        <v>16.43630421461156</v>
      </c>
      <c r="Q83" s="15">
        <v>3.9</v>
      </c>
      <c r="R83" s="15">
        <v>7.6</v>
      </c>
      <c r="S83" s="15">
        <v>30</v>
      </c>
      <c r="T83" s="15">
        <v>2.8</v>
      </c>
      <c r="U83" s="12">
        <v>33</v>
      </c>
      <c r="V83" s="12">
        <v>343</v>
      </c>
      <c r="W83" s="15">
        <v>17</v>
      </c>
      <c r="X83" s="15">
        <v>15.1</v>
      </c>
      <c r="Y83" s="24">
        <v>68</v>
      </c>
      <c r="Z83" s="19">
        <v>12.1</v>
      </c>
      <c r="AA83" s="19">
        <v>10.199999999999999</v>
      </c>
      <c r="AB83" s="19">
        <v>42</v>
      </c>
      <c r="AC83" s="49">
        <v>3</v>
      </c>
      <c r="AD83" s="27">
        <v>3</v>
      </c>
      <c r="AE83" s="27">
        <v>4</v>
      </c>
      <c r="AF83" s="31">
        <v>1.4</v>
      </c>
      <c r="AG83" s="15">
        <v>54.509138120443424</v>
      </c>
      <c r="AH83" s="44">
        <v>20.6</v>
      </c>
      <c r="AI83" s="44">
        <v>16.8</v>
      </c>
      <c r="AJ83" s="44">
        <v>83</v>
      </c>
      <c r="AK83" s="44">
        <v>19.100000000000001</v>
      </c>
      <c r="AL83" s="44">
        <v>19.100000000000001</v>
      </c>
      <c r="AM83" s="44">
        <v>82</v>
      </c>
      <c r="AN83" s="19"/>
      <c r="AO83" s="19"/>
      <c r="AP83" s="84">
        <v>0</v>
      </c>
      <c r="AQ83" s="60">
        <v>23004</v>
      </c>
      <c r="AR83" s="60">
        <v>8685</v>
      </c>
      <c r="AS83" s="60">
        <v>6952</v>
      </c>
      <c r="AT83" s="60">
        <v>10081.627382971699</v>
      </c>
      <c r="AU83" s="24">
        <v>76677</v>
      </c>
      <c r="AV83" s="60">
        <v>7233.4221207320688</v>
      </c>
      <c r="AW83" s="24">
        <v>22011</v>
      </c>
      <c r="AX83" s="24">
        <v>18608.310000000001</v>
      </c>
      <c r="AY83" s="60">
        <v>2606.7600000000002</v>
      </c>
      <c r="AZ83" s="60">
        <v>27.98</v>
      </c>
    </row>
    <row r="84" spans="1:52">
      <c r="A84" s="3" t="s">
        <v>82</v>
      </c>
      <c r="B84" s="7" t="s">
        <v>263</v>
      </c>
      <c r="C84" s="7" t="s">
        <v>261</v>
      </c>
      <c r="D84" s="15">
        <v>13.774061218049857</v>
      </c>
      <c r="E84" s="15">
        <v>59.96</v>
      </c>
      <c r="F84" s="15" t="s">
        <v>280</v>
      </c>
      <c r="G84" s="12">
        <v>14365.083938417119</v>
      </c>
      <c r="H84" s="12">
        <v>7065</v>
      </c>
      <c r="I84" s="12">
        <v>7300</v>
      </c>
      <c r="J84" s="15">
        <v>5.7</v>
      </c>
      <c r="K84" s="15">
        <v>9</v>
      </c>
      <c r="L84" s="15">
        <v>10.7</v>
      </c>
      <c r="M84" s="15">
        <v>9.3000000000000007</v>
      </c>
      <c r="N84" s="15">
        <v>10.483814827706231</v>
      </c>
      <c r="O84" s="15">
        <v>15.245388096066828</v>
      </c>
      <c r="P84" s="15">
        <v>21.183431952662719</v>
      </c>
      <c r="Q84" s="15">
        <v>3.9</v>
      </c>
      <c r="R84" s="15">
        <v>14.5</v>
      </c>
      <c r="S84" s="15">
        <v>31.3</v>
      </c>
      <c r="T84" s="15">
        <v>6.1</v>
      </c>
      <c r="U84" s="12">
        <v>72</v>
      </c>
      <c r="V84" s="12">
        <v>305</v>
      </c>
      <c r="W84" s="15">
        <v>31.6</v>
      </c>
      <c r="X84" s="15">
        <v>28.4</v>
      </c>
      <c r="Y84" s="24">
        <v>111</v>
      </c>
      <c r="Z84" s="19">
        <v>24.3</v>
      </c>
      <c r="AA84" s="19">
        <v>14.7</v>
      </c>
      <c r="AB84" s="19">
        <v>55</v>
      </c>
      <c r="AC84" s="49">
        <v>9</v>
      </c>
      <c r="AD84" s="27">
        <v>9</v>
      </c>
      <c r="AE84" s="27">
        <v>7</v>
      </c>
      <c r="AF84" s="31">
        <v>2.1</v>
      </c>
      <c r="AG84" s="15">
        <v>73.784921546115584</v>
      </c>
      <c r="AH84" s="44">
        <v>20.399999999999999</v>
      </c>
      <c r="AI84" s="44">
        <v>20.100000000000001</v>
      </c>
      <c r="AJ84" s="44">
        <v>92</v>
      </c>
      <c r="AK84" s="44">
        <v>24.3</v>
      </c>
      <c r="AL84" s="44">
        <v>24</v>
      </c>
      <c r="AM84" s="44">
        <v>103</v>
      </c>
      <c r="AN84" s="19"/>
      <c r="AO84" s="19"/>
      <c r="AP84" s="84">
        <v>0</v>
      </c>
      <c r="AQ84" s="60">
        <v>66301</v>
      </c>
      <c r="AR84" s="60">
        <v>52677</v>
      </c>
      <c r="AS84" s="60">
        <v>37590</v>
      </c>
      <c r="AT84" s="60">
        <v>42918.18</v>
      </c>
      <c r="AU84" s="24">
        <v>25689</v>
      </c>
      <c r="AV84" s="60">
        <v>6362.9283610069706</v>
      </c>
      <c r="AW84" s="24">
        <v>58451</v>
      </c>
      <c r="AX84" s="24">
        <v>40178.18</v>
      </c>
      <c r="AY84" s="60">
        <v>8867</v>
      </c>
      <c r="AZ84" s="60">
        <v>6960.77</v>
      </c>
    </row>
    <row r="85" spans="1:52">
      <c r="A85" s="3" t="s">
        <v>83</v>
      </c>
      <c r="B85" s="7" t="s">
        <v>263</v>
      </c>
      <c r="C85" s="7" t="s">
        <v>261</v>
      </c>
      <c r="D85" s="15">
        <v>16.685431209187122</v>
      </c>
      <c r="E85" s="15">
        <v>53.3</v>
      </c>
      <c r="F85" s="15" t="s">
        <v>280</v>
      </c>
      <c r="G85" s="12">
        <v>9295.2003731826189</v>
      </c>
      <c r="H85" s="12">
        <v>4730</v>
      </c>
      <c r="I85" s="12">
        <v>4565</v>
      </c>
      <c r="J85" s="15">
        <v>6.9</v>
      </c>
      <c r="K85" s="15">
        <v>9.5</v>
      </c>
      <c r="L85" s="15">
        <v>11.2</v>
      </c>
      <c r="M85" s="15">
        <v>9.3000000000000007</v>
      </c>
      <c r="N85" s="15">
        <v>12.318450779989242</v>
      </c>
      <c r="O85" s="15">
        <v>16.083916083916083</v>
      </c>
      <c r="P85" s="15">
        <v>20.010758472296931</v>
      </c>
      <c r="Q85" s="15">
        <v>4.8</v>
      </c>
      <c r="R85" s="15">
        <v>10</v>
      </c>
      <c r="S85" s="15">
        <v>33.6</v>
      </c>
      <c r="T85" s="15">
        <v>2.8</v>
      </c>
      <c r="U85" s="12">
        <v>109</v>
      </c>
      <c r="V85" s="12">
        <v>196</v>
      </c>
      <c r="W85" s="15">
        <v>10.3</v>
      </c>
      <c r="X85" s="15">
        <v>10</v>
      </c>
      <c r="Y85" s="24">
        <v>29</v>
      </c>
      <c r="Z85" s="19">
        <v>17</v>
      </c>
      <c r="AA85" s="19">
        <v>17</v>
      </c>
      <c r="AB85" s="19">
        <v>60</v>
      </c>
      <c r="AC85" s="49">
        <v>8</v>
      </c>
      <c r="AD85" s="27">
        <v>8</v>
      </c>
      <c r="AE85" s="27">
        <v>6</v>
      </c>
      <c r="AF85" s="31">
        <v>0</v>
      </c>
      <c r="AG85" s="15">
        <v>75.326215895610915</v>
      </c>
      <c r="AH85" s="44">
        <v>13.2</v>
      </c>
      <c r="AI85" s="44">
        <v>11</v>
      </c>
      <c r="AJ85" s="44">
        <v>49</v>
      </c>
      <c r="AK85" s="44">
        <v>43.1</v>
      </c>
      <c r="AL85" s="44">
        <v>37</v>
      </c>
      <c r="AM85" s="44">
        <v>136</v>
      </c>
      <c r="AN85" s="19"/>
      <c r="AO85" s="19"/>
      <c r="AP85" s="84">
        <v>0</v>
      </c>
      <c r="AQ85" s="60">
        <v>40559</v>
      </c>
      <c r="AR85" s="60">
        <v>22002</v>
      </c>
      <c r="AS85" s="60">
        <v>20705</v>
      </c>
      <c r="AT85" s="60">
        <v>24379</v>
      </c>
      <c r="AU85" s="24">
        <v>25062</v>
      </c>
      <c r="AV85" s="60">
        <v>7851.4714121231746</v>
      </c>
      <c r="AW85" s="24">
        <v>23704</v>
      </c>
      <c r="AX85" s="24">
        <v>21410</v>
      </c>
      <c r="AY85" s="60">
        <v>1027</v>
      </c>
      <c r="AZ85" s="60">
        <v>0</v>
      </c>
    </row>
    <row r="86" spans="1:52">
      <c r="A86" s="3" t="s">
        <v>84</v>
      </c>
      <c r="B86" s="7" t="s">
        <v>263</v>
      </c>
      <c r="C86" s="7" t="s">
        <v>261</v>
      </c>
      <c r="D86" s="15">
        <v>18.156786524133466</v>
      </c>
      <c r="E86" s="15">
        <v>24.87</v>
      </c>
      <c r="F86" s="15" t="s">
        <v>280</v>
      </c>
      <c r="G86" s="12">
        <v>13592.855514546694</v>
      </c>
      <c r="H86" s="12">
        <v>6741</v>
      </c>
      <c r="I86" s="12">
        <v>6852</v>
      </c>
      <c r="J86" s="15">
        <v>8.5</v>
      </c>
      <c r="K86" s="15">
        <v>8.4</v>
      </c>
      <c r="L86" s="15">
        <v>7.7</v>
      </c>
      <c r="M86" s="15">
        <v>5.6</v>
      </c>
      <c r="N86" s="15">
        <v>12.234238210843817</v>
      </c>
      <c r="O86" s="15">
        <v>21.408077687044802</v>
      </c>
      <c r="P86" s="15">
        <v>16.383432649157655</v>
      </c>
      <c r="Q86" s="15">
        <v>4.8</v>
      </c>
      <c r="R86" s="15">
        <v>15</v>
      </c>
      <c r="S86" s="15">
        <v>28.1</v>
      </c>
      <c r="T86" s="15">
        <v>6</v>
      </c>
      <c r="U86" s="12">
        <v>-11</v>
      </c>
      <c r="V86" s="12">
        <v>309</v>
      </c>
      <c r="W86" s="15">
        <v>58.8</v>
      </c>
      <c r="X86" s="15">
        <v>58.7</v>
      </c>
      <c r="Y86" s="24">
        <v>301</v>
      </c>
      <c r="Z86" s="19">
        <v>2.8</v>
      </c>
      <c r="AA86" s="19">
        <v>2.2000000000000002</v>
      </c>
      <c r="AB86" s="19">
        <v>8</v>
      </c>
      <c r="AC86" s="49">
        <v>7</v>
      </c>
      <c r="AD86" s="27">
        <v>7</v>
      </c>
      <c r="AE86" s="27">
        <v>9</v>
      </c>
      <c r="AF86" s="31">
        <v>9.5</v>
      </c>
      <c r="AG86" s="15">
        <v>68.271334792122545</v>
      </c>
      <c r="AH86" s="44">
        <v>43.1</v>
      </c>
      <c r="AI86" s="44">
        <v>3.4</v>
      </c>
      <c r="AJ86" s="44">
        <v>15</v>
      </c>
      <c r="AK86" s="44">
        <v>1.8</v>
      </c>
      <c r="AL86" s="44">
        <v>1.5</v>
      </c>
      <c r="AM86" s="44">
        <v>5</v>
      </c>
      <c r="AN86" s="19"/>
      <c r="AO86" s="19"/>
      <c r="AP86" s="84">
        <v>0</v>
      </c>
      <c r="AQ86" s="60">
        <v>79274</v>
      </c>
      <c r="AR86" s="60">
        <v>56532</v>
      </c>
      <c r="AS86" s="60">
        <v>26337</v>
      </c>
      <c r="AT86" s="60">
        <v>28356</v>
      </c>
      <c r="AU86" s="24">
        <v>26440</v>
      </c>
      <c r="AV86" s="60">
        <v>7930.5632201148992</v>
      </c>
      <c r="AW86" s="24">
        <v>60001</v>
      </c>
      <c r="AX86" s="24">
        <v>29443</v>
      </c>
      <c r="AY86" s="60">
        <v>19063</v>
      </c>
      <c r="AZ86" s="60">
        <v>5974</v>
      </c>
    </row>
    <row r="87" spans="1:52">
      <c r="A87" s="3" t="s">
        <v>85</v>
      </c>
      <c r="B87" s="7" t="s">
        <v>263</v>
      </c>
      <c r="C87" s="7" t="s">
        <v>260</v>
      </c>
      <c r="D87" s="15">
        <v>13.157142857142857</v>
      </c>
      <c r="E87" s="15">
        <v>16.41</v>
      </c>
      <c r="F87" s="15">
        <v>99.9</v>
      </c>
      <c r="G87" s="12">
        <v>15335.969968299696</v>
      </c>
      <c r="H87" s="12">
        <v>7904</v>
      </c>
      <c r="I87" s="12">
        <v>7432</v>
      </c>
      <c r="J87" s="15">
        <v>9.3000000000000007</v>
      </c>
      <c r="K87" s="15">
        <v>9.6</v>
      </c>
      <c r="L87" s="15">
        <v>9.4</v>
      </c>
      <c r="M87" s="15">
        <v>10.1</v>
      </c>
      <c r="N87" s="15">
        <v>19.092331768388107</v>
      </c>
      <c r="O87" s="15">
        <v>18.746739697443925</v>
      </c>
      <c r="P87" s="15">
        <v>15.232133541992695</v>
      </c>
      <c r="Q87" s="15">
        <v>3.2</v>
      </c>
      <c r="R87" s="15">
        <v>5.4</v>
      </c>
      <c r="S87" s="15">
        <v>34.299999999999997</v>
      </c>
      <c r="T87" s="15">
        <v>1.6</v>
      </c>
      <c r="U87" s="12">
        <v>-6</v>
      </c>
      <c r="V87" s="12">
        <v>227</v>
      </c>
      <c r="W87" s="15">
        <v>20.5</v>
      </c>
      <c r="X87" s="15">
        <v>17.600000000000001</v>
      </c>
      <c r="Y87" s="24">
        <v>74</v>
      </c>
      <c r="Z87" s="19">
        <v>15</v>
      </c>
      <c r="AA87" s="19">
        <v>11.9</v>
      </c>
      <c r="AB87" s="19">
        <v>53</v>
      </c>
      <c r="AC87" s="49">
        <v>3</v>
      </c>
      <c r="AD87" s="27">
        <v>3</v>
      </c>
      <c r="AE87" s="27">
        <v>4</v>
      </c>
      <c r="AF87" s="31">
        <v>1.5</v>
      </c>
      <c r="AG87" s="15">
        <v>50.83156062657126</v>
      </c>
      <c r="AH87" s="44">
        <v>10.3</v>
      </c>
      <c r="AI87" s="44">
        <v>9.6999999999999993</v>
      </c>
      <c r="AJ87" s="44">
        <v>42</v>
      </c>
      <c r="AK87" s="44">
        <v>24.5</v>
      </c>
      <c r="AL87" s="44">
        <v>21.9</v>
      </c>
      <c r="AM87" s="44">
        <v>98</v>
      </c>
      <c r="AN87" s="24"/>
      <c r="AO87" s="19"/>
      <c r="AP87" s="84">
        <v>0</v>
      </c>
      <c r="AQ87" s="60">
        <v>18069</v>
      </c>
      <c r="AR87" s="60">
        <v>10327</v>
      </c>
      <c r="AS87" s="60">
        <v>8262</v>
      </c>
      <c r="AT87" s="60">
        <v>20604</v>
      </c>
      <c r="AU87" s="24">
        <v>73252</v>
      </c>
      <c r="AV87" s="60">
        <v>6238.2751268915636</v>
      </c>
      <c r="AW87" s="24">
        <v>19741</v>
      </c>
      <c r="AX87" s="24">
        <v>15264</v>
      </c>
      <c r="AY87" s="60">
        <v>1920</v>
      </c>
      <c r="AZ87" s="60">
        <v>498</v>
      </c>
    </row>
    <row r="88" spans="1:52">
      <c r="A88" s="3" t="s">
        <v>86</v>
      </c>
      <c r="B88" s="7" t="s">
        <v>263</v>
      </c>
      <c r="C88" s="7" t="s">
        <v>261</v>
      </c>
      <c r="D88" s="15">
        <v>15.224913494809689</v>
      </c>
      <c r="E88" s="15">
        <v>31.26</v>
      </c>
      <c r="F88" s="15" t="s">
        <v>280</v>
      </c>
      <c r="G88" s="12">
        <v>3461.7069850263888</v>
      </c>
      <c r="H88" s="12">
        <v>1736</v>
      </c>
      <c r="I88" s="12">
        <v>1726</v>
      </c>
      <c r="J88" s="15">
        <v>7.4</v>
      </c>
      <c r="K88" s="15">
        <v>7.2</v>
      </c>
      <c r="L88" s="15">
        <v>8.1</v>
      </c>
      <c r="M88" s="15">
        <v>8.5</v>
      </c>
      <c r="N88" s="15">
        <v>14.326978625072211</v>
      </c>
      <c r="O88" s="15">
        <v>15.82900057770075</v>
      </c>
      <c r="P88" s="15">
        <v>19.150779896013866</v>
      </c>
      <c r="Q88" s="15">
        <v>6.2</v>
      </c>
      <c r="R88" s="15">
        <v>13.3</v>
      </c>
      <c r="S88" s="15">
        <v>27.4</v>
      </c>
      <c r="T88" s="15">
        <v>5.3</v>
      </c>
      <c r="U88" s="12">
        <v>-32</v>
      </c>
      <c r="V88" s="12">
        <v>94</v>
      </c>
      <c r="W88" s="15">
        <v>0.8</v>
      </c>
      <c r="X88" s="15">
        <v>0.8</v>
      </c>
      <c r="Y88" s="24">
        <v>4</v>
      </c>
      <c r="Z88" s="19">
        <v>2.1</v>
      </c>
      <c r="AA88" s="19">
        <v>0.8</v>
      </c>
      <c r="AB88" s="19">
        <v>3</v>
      </c>
      <c r="AC88" s="49">
        <v>7</v>
      </c>
      <c r="AD88" s="27">
        <v>7</v>
      </c>
      <c r="AE88" s="27">
        <v>6</v>
      </c>
      <c r="AF88" s="31">
        <v>0</v>
      </c>
      <c r="AG88" s="15">
        <v>75.779196395043186</v>
      </c>
      <c r="AH88" s="44">
        <v>1.2</v>
      </c>
      <c r="AI88" s="44">
        <v>1.1000000000000001</v>
      </c>
      <c r="AJ88" s="44">
        <v>4</v>
      </c>
      <c r="AK88" s="44">
        <v>2.8</v>
      </c>
      <c r="AL88" s="44">
        <v>2.8</v>
      </c>
      <c r="AM88" s="44">
        <v>12</v>
      </c>
      <c r="AN88" s="24"/>
      <c r="AO88" s="19"/>
      <c r="AP88" s="84">
        <v>0</v>
      </c>
      <c r="AQ88" s="60">
        <v>15604</v>
      </c>
      <c r="AR88" s="60">
        <v>7573</v>
      </c>
      <c r="AS88" s="60">
        <v>7354</v>
      </c>
      <c r="AT88" s="60">
        <v>9413</v>
      </c>
      <c r="AU88" s="24">
        <v>13395</v>
      </c>
      <c r="AV88" s="60">
        <v>8935.7649661859523</v>
      </c>
      <c r="AW88" s="24">
        <v>8683</v>
      </c>
      <c r="AX88" s="24">
        <v>8409</v>
      </c>
      <c r="AY88" s="60">
        <v>159</v>
      </c>
      <c r="AZ88" s="60">
        <v>0</v>
      </c>
    </row>
    <row r="89" spans="1:52">
      <c r="A89" s="3" t="s">
        <v>87</v>
      </c>
      <c r="B89" s="7" t="s">
        <v>263</v>
      </c>
      <c r="C89" s="7" t="s">
        <v>261</v>
      </c>
      <c r="D89" s="15">
        <v>17.627635255270508</v>
      </c>
      <c r="E89" s="15">
        <v>40.659999999999997</v>
      </c>
      <c r="F89" s="15" t="s">
        <v>280</v>
      </c>
      <c r="G89" s="12">
        <v>7975.1233055966377</v>
      </c>
      <c r="H89" s="12">
        <v>4020</v>
      </c>
      <c r="I89" s="12">
        <v>3955</v>
      </c>
      <c r="J89" s="15">
        <v>6</v>
      </c>
      <c r="K89" s="15">
        <v>8.1999999999999993</v>
      </c>
      <c r="L89" s="15">
        <v>10.9</v>
      </c>
      <c r="M89" s="15">
        <v>9.6999999999999993</v>
      </c>
      <c r="N89" s="15">
        <v>12.175548589341693</v>
      </c>
      <c r="O89" s="15">
        <v>16.012539184952978</v>
      </c>
      <c r="P89" s="15">
        <v>21.442006269592476</v>
      </c>
      <c r="Q89" s="15">
        <v>4.5</v>
      </c>
      <c r="R89" s="15">
        <v>11.2</v>
      </c>
      <c r="S89" s="15">
        <v>31.2</v>
      </c>
      <c r="T89" s="15">
        <v>2.7</v>
      </c>
      <c r="U89" s="12">
        <v>-26</v>
      </c>
      <c r="V89" s="12">
        <v>178</v>
      </c>
      <c r="W89" s="15">
        <v>25.1</v>
      </c>
      <c r="X89" s="15">
        <v>22.6</v>
      </c>
      <c r="Y89" s="24">
        <v>163</v>
      </c>
      <c r="Z89" s="19">
        <v>0.6</v>
      </c>
      <c r="AA89" s="19">
        <v>0.6</v>
      </c>
      <c r="AB89" s="19" t="s">
        <v>280</v>
      </c>
      <c r="AC89" s="49">
        <v>8</v>
      </c>
      <c r="AD89" s="27">
        <v>8</v>
      </c>
      <c r="AE89" s="27">
        <v>6</v>
      </c>
      <c r="AF89" s="31">
        <v>0.4</v>
      </c>
      <c r="AG89" s="15">
        <v>73.508392886820673</v>
      </c>
      <c r="AH89" s="44">
        <v>4.9000000000000004</v>
      </c>
      <c r="AI89" s="44">
        <v>4.7</v>
      </c>
      <c r="AJ89" s="44">
        <v>23</v>
      </c>
      <c r="AK89" s="44">
        <v>1.2</v>
      </c>
      <c r="AL89" s="44">
        <v>1.2</v>
      </c>
      <c r="AM89" s="44">
        <v>4</v>
      </c>
      <c r="AN89" s="19"/>
      <c r="AO89" s="19"/>
      <c r="AP89" s="84">
        <v>0</v>
      </c>
      <c r="AQ89" s="60">
        <v>38853</v>
      </c>
      <c r="AR89" s="60">
        <v>22043</v>
      </c>
      <c r="AS89" s="60">
        <v>19120</v>
      </c>
      <c r="AT89" s="60">
        <v>23199</v>
      </c>
      <c r="AU89" s="24">
        <v>26644</v>
      </c>
      <c r="AV89" s="60">
        <v>8212.662988425107</v>
      </c>
      <c r="AW89" s="24">
        <v>25193</v>
      </c>
      <c r="AX89" s="24">
        <v>21066</v>
      </c>
      <c r="AY89" s="60">
        <v>1278</v>
      </c>
      <c r="AZ89" s="60">
        <v>1060</v>
      </c>
    </row>
    <row r="90" spans="1:52">
      <c r="A90" s="3" t="s">
        <v>88</v>
      </c>
      <c r="B90" s="7" t="s">
        <v>263</v>
      </c>
      <c r="C90" s="7" t="s">
        <v>261</v>
      </c>
      <c r="D90" s="15">
        <v>13.679544015199493</v>
      </c>
      <c r="E90" s="15">
        <v>72.95</v>
      </c>
      <c r="F90" s="15" t="s">
        <v>280</v>
      </c>
      <c r="G90" s="12">
        <v>4300.7946098087577</v>
      </c>
      <c r="H90" s="12">
        <v>2126</v>
      </c>
      <c r="I90" s="12">
        <v>2175</v>
      </c>
      <c r="J90" s="15">
        <v>12.1</v>
      </c>
      <c r="K90" s="15">
        <v>10.8</v>
      </c>
      <c r="L90" s="15">
        <v>9.8000000000000007</v>
      </c>
      <c r="M90" s="15">
        <v>7.7</v>
      </c>
      <c r="N90" s="15">
        <v>13.950244129272264</v>
      </c>
      <c r="O90" s="15">
        <v>17.50755638223669</v>
      </c>
      <c r="P90" s="15">
        <v>11.090444082771448</v>
      </c>
      <c r="Q90" s="15">
        <v>3.6</v>
      </c>
      <c r="R90" s="15">
        <v>13.4</v>
      </c>
      <c r="S90" s="15">
        <v>37.9</v>
      </c>
      <c r="T90" s="15">
        <v>5.4</v>
      </c>
      <c r="U90" s="12">
        <v>125</v>
      </c>
      <c r="V90" s="12">
        <v>88</v>
      </c>
      <c r="W90" s="15">
        <v>9.4</v>
      </c>
      <c r="X90" s="15">
        <v>8.3000000000000007</v>
      </c>
      <c r="Y90" s="24">
        <v>60</v>
      </c>
      <c r="Z90" s="19">
        <v>15.7</v>
      </c>
      <c r="AA90" s="19">
        <v>15.4</v>
      </c>
      <c r="AB90" s="19">
        <v>69</v>
      </c>
      <c r="AC90" s="49">
        <v>8</v>
      </c>
      <c r="AD90" s="27">
        <v>8</v>
      </c>
      <c r="AE90" s="27">
        <v>6</v>
      </c>
      <c r="AF90" s="31">
        <v>0.9</v>
      </c>
      <c r="AG90" s="15">
        <v>80.622095101894885</v>
      </c>
      <c r="AH90" s="44">
        <v>1</v>
      </c>
      <c r="AI90" s="44">
        <v>0.5</v>
      </c>
      <c r="AJ90" s="44" t="s">
        <v>282</v>
      </c>
      <c r="AK90" s="44">
        <v>0.2</v>
      </c>
      <c r="AL90" s="44">
        <v>0.2</v>
      </c>
      <c r="AM90" s="44" t="s">
        <v>282</v>
      </c>
      <c r="AN90" s="19"/>
      <c r="AO90" s="19"/>
      <c r="AP90" s="84">
        <v>0</v>
      </c>
      <c r="AQ90" s="60">
        <v>22614</v>
      </c>
      <c r="AR90" s="60">
        <v>9653</v>
      </c>
      <c r="AS90" s="60">
        <v>7621</v>
      </c>
      <c r="AT90" s="60">
        <v>8352</v>
      </c>
      <c r="AU90" s="24">
        <v>19158</v>
      </c>
      <c r="AV90" s="60">
        <v>9715.1814468670837</v>
      </c>
      <c r="AW90" s="24">
        <v>11651</v>
      </c>
      <c r="AX90" s="24">
        <v>8837</v>
      </c>
      <c r="AY90" s="60">
        <v>1662</v>
      </c>
      <c r="AZ90" s="60">
        <v>527</v>
      </c>
    </row>
    <row r="91" spans="1:52">
      <c r="A91" s="3" t="s">
        <v>89</v>
      </c>
      <c r="B91" s="7" t="s">
        <v>263</v>
      </c>
      <c r="C91" s="7" t="s">
        <v>260</v>
      </c>
      <c r="D91" s="15">
        <v>12.12213276621601</v>
      </c>
      <c r="E91" s="15">
        <v>14.23</v>
      </c>
      <c r="F91" s="15">
        <v>99.9</v>
      </c>
      <c r="G91" s="12">
        <v>13842.513983145804</v>
      </c>
      <c r="H91" s="12">
        <v>6966</v>
      </c>
      <c r="I91" s="12">
        <v>6877</v>
      </c>
      <c r="J91" s="15">
        <v>8</v>
      </c>
      <c r="K91" s="15">
        <v>8.6</v>
      </c>
      <c r="L91" s="15">
        <v>9.1</v>
      </c>
      <c r="M91" s="15">
        <v>9.4</v>
      </c>
      <c r="N91" s="15">
        <v>17.48175973416167</v>
      </c>
      <c r="O91" s="15">
        <v>19.367189193093985</v>
      </c>
      <c r="P91" s="15">
        <v>16.882178718485878</v>
      </c>
      <c r="Q91" s="15">
        <v>4.0999999999999996</v>
      </c>
      <c r="R91" s="15">
        <v>7.1</v>
      </c>
      <c r="S91" s="15">
        <v>31.3</v>
      </c>
      <c r="T91" s="15">
        <v>2.4</v>
      </c>
      <c r="U91" s="12">
        <v>24</v>
      </c>
      <c r="V91" s="12">
        <v>213</v>
      </c>
      <c r="W91" s="15">
        <v>14.1</v>
      </c>
      <c r="X91" s="15">
        <v>13.3</v>
      </c>
      <c r="Y91" s="24">
        <v>65</v>
      </c>
      <c r="Z91" s="19">
        <v>12</v>
      </c>
      <c r="AA91" s="19">
        <v>6.5</v>
      </c>
      <c r="AB91" s="19">
        <v>33</v>
      </c>
      <c r="AC91" s="49">
        <v>3</v>
      </c>
      <c r="AD91" s="27">
        <v>3</v>
      </c>
      <c r="AE91" s="27">
        <v>5</v>
      </c>
      <c r="AF91" s="31">
        <v>0.1</v>
      </c>
      <c r="AG91" s="15">
        <v>59.306910147333468</v>
      </c>
      <c r="AH91" s="44">
        <v>19.5</v>
      </c>
      <c r="AI91" s="44">
        <v>18.2</v>
      </c>
      <c r="AJ91" s="44">
        <v>100</v>
      </c>
      <c r="AK91" s="44">
        <v>18.399999999999999</v>
      </c>
      <c r="AL91" s="44">
        <v>16.5</v>
      </c>
      <c r="AM91" s="44">
        <v>87</v>
      </c>
      <c r="AN91" s="19"/>
      <c r="AO91" s="19"/>
      <c r="AP91" s="84">
        <v>0</v>
      </c>
      <c r="AQ91" s="60">
        <v>27791</v>
      </c>
      <c r="AR91" s="60">
        <v>19024</v>
      </c>
      <c r="AS91" s="60">
        <v>11520</v>
      </c>
      <c r="AT91" s="60">
        <v>34763.710700000003</v>
      </c>
      <c r="AU91" s="24">
        <v>56777</v>
      </c>
      <c r="AV91" s="60">
        <v>6087.4780478892453</v>
      </c>
      <c r="AW91" s="24">
        <v>24814.827300000001</v>
      </c>
      <c r="AX91" s="24">
        <v>16761.190699999999</v>
      </c>
      <c r="AY91" s="60">
        <v>3363.2799</v>
      </c>
      <c r="AZ91" s="60">
        <v>3403.9901</v>
      </c>
    </row>
    <row r="92" spans="1:52">
      <c r="A92" s="3" t="s">
        <v>90</v>
      </c>
      <c r="B92" s="7" t="s">
        <v>263</v>
      </c>
      <c r="C92" s="7" t="s">
        <v>261</v>
      </c>
      <c r="D92" s="15">
        <v>12.846046604262099</v>
      </c>
      <c r="E92" s="15">
        <v>54.69</v>
      </c>
      <c r="F92" s="15" t="s">
        <v>280</v>
      </c>
      <c r="G92" s="12">
        <v>11853.272700188762</v>
      </c>
      <c r="H92" s="12">
        <v>6082</v>
      </c>
      <c r="I92" s="12">
        <v>5771</v>
      </c>
      <c r="J92" s="15">
        <v>11</v>
      </c>
      <c r="K92" s="15">
        <v>12.9</v>
      </c>
      <c r="L92" s="15">
        <v>12.1</v>
      </c>
      <c r="M92" s="15">
        <v>10.3</v>
      </c>
      <c r="N92" s="15">
        <v>12.469417025225681</v>
      </c>
      <c r="O92" s="15">
        <v>18.661942124356703</v>
      </c>
      <c r="P92" s="15">
        <v>11.001434236058381</v>
      </c>
      <c r="Q92" s="15">
        <v>3.5</v>
      </c>
      <c r="R92" s="15">
        <v>8.1</v>
      </c>
      <c r="S92" s="15">
        <v>43</v>
      </c>
      <c r="T92" s="15">
        <v>2.2999999999999998</v>
      </c>
      <c r="U92" s="12">
        <v>-56</v>
      </c>
      <c r="V92" s="12">
        <v>170</v>
      </c>
      <c r="W92" s="15">
        <v>2.8</v>
      </c>
      <c r="X92" s="15">
        <v>1.8</v>
      </c>
      <c r="Y92" s="24">
        <v>6</v>
      </c>
      <c r="Z92" s="19">
        <v>18.2</v>
      </c>
      <c r="AA92" s="19">
        <v>10.7</v>
      </c>
      <c r="AB92" s="19">
        <v>66</v>
      </c>
      <c r="AC92" s="49">
        <v>7</v>
      </c>
      <c r="AD92" s="27">
        <v>7</v>
      </c>
      <c r="AE92" s="27">
        <v>5</v>
      </c>
      <c r="AF92" s="31">
        <v>0</v>
      </c>
      <c r="AG92" s="15">
        <v>72.976714915040901</v>
      </c>
      <c r="AH92" s="44">
        <v>15.4</v>
      </c>
      <c r="AI92" s="44">
        <v>15.4</v>
      </c>
      <c r="AJ92" s="44">
        <v>145</v>
      </c>
      <c r="AK92" s="44">
        <v>0.2</v>
      </c>
      <c r="AL92" s="44">
        <v>0.2</v>
      </c>
      <c r="AM92" s="44" t="s">
        <v>282</v>
      </c>
      <c r="AN92" s="19"/>
      <c r="AO92" s="19"/>
      <c r="AP92" s="84">
        <v>0</v>
      </c>
      <c r="AQ92" s="60">
        <v>49448</v>
      </c>
      <c r="AR92" s="60">
        <v>24393</v>
      </c>
      <c r="AS92" s="60">
        <v>23010</v>
      </c>
      <c r="AT92" s="60">
        <v>24452.374489999998</v>
      </c>
      <c r="AU92" s="24">
        <v>69354</v>
      </c>
      <c r="AV92" s="60">
        <v>9991.7552726272752</v>
      </c>
      <c r="AW92" s="24">
        <v>26945.021499999999</v>
      </c>
      <c r="AX92" s="24">
        <v>24984.374489999998</v>
      </c>
      <c r="AY92" s="60">
        <v>1222.16417</v>
      </c>
      <c r="AZ92" s="60">
        <v>31.857309999999998</v>
      </c>
    </row>
    <row r="93" spans="1:52">
      <c r="A93" s="3" t="s">
        <v>91</v>
      </c>
      <c r="B93" s="7" t="s">
        <v>263</v>
      </c>
      <c r="C93" s="7" t="s">
        <v>260</v>
      </c>
      <c r="D93" s="15">
        <v>12.71856786011657</v>
      </c>
      <c r="E93" s="15">
        <v>12.87</v>
      </c>
      <c r="F93" s="15">
        <v>99.9</v>
      </c>
      <c r="G93" s="12">
        <v>10288.565647775251</v>
      </c>
      <c r="H93" s="12">
        <v>5343</v>
      </c>
      <c r="I93" s="12">
        <v>4946</v>
      </c>
      <c r="J93" s="15">
        <v>9.3000000000000007</v>
      </c>
      <c r="K93" s="15">
        <v>10.1</v>
      </c>
      <c r="L93" s="15">
        <v>9.6999999999999993</v>
      </c>
      <c r="M93" s="15">
        <v>9.6999999999999993</v>
      </c>
      <c r="N93" s="15">
        <v>18.621829137914279</v>
      </c>
      <c r="O93" s="15">
        <v>20.837787928856059</v>
      </c>
      <c r="P93" s="15">
        <v>14.413451258625717</v>
      </c>
      <c r="Q93" s="15">
        <v>2.7</v>
      </c>
      <c r="R93" s="15">
        <v>4.7</v>
      </c>
      <c r="S93" s="15">
        <v>34.6</v>
      </c>
      <c r="T93" s="15">
        <v>1.7</v>
      </c>
      <c r="U93" s="12">
        <v>1</v>
      </c>
      <c r="V93" s="12">
        <v>199</v>
      </c>
      <c r="W93" s="15">
        <v>23.5</v>
      </c>
      <c r="X93" s="15">
        <v>21.1</v>
      </c>
      <c r="Y93" s="24">
        <v>96</v>
      </c>
      <c r="Z93" s="19">
        <v>8.6</v>
      </c>
      <c r="AA93" s="19">
        <v>8.6</v>
      </c>
      <c r="AB93" s="19">
        <v>38</v>
      </c>
      <c r="AC93" s="49">
        <v>3</v>
      </c>
      <c r="AD93" s="27">
        <v>2</v>
      </c>
      <c r="AE93" s="27">
        <v>3</v>
      </c>
      <c r="AF93" s="31">
        <v>0.4</v>
      </c>
      <c r="AG93" s="15">
        <v>56.529112492933862</v>
      </c>
      <c r="AH93" s="44">
        <v>13.5</v>
      </c>
      <c r="AI93" s="44">
        <v>12.4</v>
      </c>
      <c r="AJ93" s="44">
        <v>54</v>
      </c>
      <c r="AK93" s="44">
        <v>13.1</v>
      </c>
      <c r="AL93" s="44">
        <v>12.3</v>
      </c>
      <c r="AM93" s="44">
        <v>65</v>
      </c>
      <c r="AN93" s="19"/>
      <c r="AO93" s="19"/>
      <c r="AP93" s="84">
        <v>0</v>
      </c>
      <c r="AQ93" s="60">
        <v>22163</v>
      </c>
      <c r="AR93" s="60">
        <v>9057</v>
      </c>
      <c r="AS93" s="60">
        <v>7582</v>
      </c>
      <c r="AT93" s="60">
        <v>28106.947</v>
      </c>
      <c r="AU93" s="24">
        <v>67888</v>
      </c>
      <c r="AV93" s="60">
        <v>8790.0493709301118</v>
      </c>
      <c r="AW93" s="24">
        <v>13282.885</v>
      </c>
      <c r="AX93" s="24">
        <v>11702.947</v>
      </c>
      <c r="AY93" s="60">
        <v>901.65599999999995</v>
      </c>
      <c r="AZ93" s="60">
        <v>0</v>
      </c>
    </row>
    <row r="94" spans="1:52">
      <c r="A94" s="3" t="s">
        <v>92</v>
      </c>
      <c r="B94" s="7" t="s">
        <v>263</v>
      </c>
      <c r="C94" s="7" t="s">
        <v>260</v>
      </c>
      <c r="D94" s="15">
        <v>12.86429202237268</v>
      </c>
      <c r="E94" s="15">
        <v>8.8800000000000008</v>
      </c>
      <c r="F94" s="15">
        <v>100</v>
      </c>
      <c r="G94" s="12">
        <v>6805.3012703637578</v>
      </c>
      <c r="H94" s="12">
        <v>3460</v>
      </c>
      <c r="I94" s="12">
        <v>3346</v>
      </c>
      <c r="J94" s="15">
        <v>6.9</v>
      </c>
      <c r="K94" s="15">
        <v>7.8</v>
      </c>
      <c r="L94" s="15">
        <v>8.8000000000000007</v>
      </c>
      <c r="M94" s="15">
        <v>9.1999999999999993</v>
      </c>
      <c r="N94" s="15">
        <v>17.002204261572373</v>
      </c>
      <c r="O94" s="15">
        <v>20.543717854518736</v>
      </c>
      <c r="P94" s="15">
        <v>18.559882439382807</v>
      </c>
      <c r="Q94" s="15">
        <v>3.8</v>
      </c>
      <c r="R94" s="15">
        <v>7.4</v>
      </c>
      <c r="S94" s="15">
        <v>29.2</v>
      </c>
      <c r="T94" s="15">
        <v>2.5</v>
      </c>
      <c r="U94" s="12">
        <v>6</v>
      </c>
      <c r="V94" s="12">
        <v>182</v>
      </c>
      <c r="W94" s="15">
        <v>12.8</v>
      </c>
      <c r="X94" s="15">
        <v>10.8</v>
      </c>
      <c r="Y94" s="24">
        <v>46</v>
      </c>
      <c r="Z94" s="19">
        <v>8.9</v>
      </c>
      <c r="AA94" s="19">
        <v>6</v>
      </c>
      <c r="AB94" s="19">
        <v>26</v>
      </c>
      <c r="AC94" s="49">
        <v>3</v>
      </c>
      <c r="AD94" s="27">
        <v>3</v>
      </c>
      <c r="AE94" s="27">
        <v>1</v>
      </c>
      <c r="AF94" s="31">
        <v>0.2</v>
      </c>
      <c r="AG94" s="15">
        <v>25.367156208277702</v>
      </c>
      <c r="AH94" s="44">
        <v>5.3</v>
      </c>
      <c r="AI94" s="44">
        <v>4.4000000000000004</v>
      </c>
      <c r="AJ94" s="44">
        <v>27</v>
      </c>
      <c r="AK94" s="44">
        <v>11.1</v>
      </c>
      <c r="AL94" s="44">
        <v>9.1</v>
      </c>
      <c r="AM94" s="44">
        <v>48</v>
      </c>
      <c r="AN94" s="19"/>
      <c r="AO94" s="19"/>
      <c r="AP94" s="84">
        <v>0</v>
      </c>
      <c r="AQ94" s="60">
        <v>27371</v>
      </c>
      <c r="AR94" s="60">
        <v>6064</v>
      </c>
      <c r="AS94" s="60">
        <v>5312</v>
      </c>
      <c r="AT94" s="60">
        <v>10037</v>
      </c>
      <c r="AU94" s="24">
        <v>30759</v>
      </c>
      <c r="AV94" s="60">
        <v>8556.7115527403275</v>
      </c>
      <c r="AW94" s="24">
        <v>10176</v>
      </c>
      <c r="AX94" s="24">
        <v>8182</v>
      </c>
      <c r="AY94" s="60">
        <v>1036</v>
      </c>
      <c r="AZ94" s="60">
        <v>455</v>
      </c>
    </row>
    <row r="95" spans="1:52">
      <c r="A95" s="3" t="s">
        <v>93</v>
      </c>
      <c r="B95" s="7" t="s">
        <v>263</v>
      </c>
      <c r="C95" s="7" t="s">
        <v>260</v>
      </c>
      <c r="D95" s="15">
        <v>13.60016764459346</v>
      </c>
      <c r="E95" s="15">
        <v>9.85</v>
      </c>
      <c r="F95" s="15">
        <v>100</v>
      </c>
      <c r="G95" s="12">
        <v>10174.873541827994</v>
      </c>
      <c r="H95" s="12">
        <v>5148</v>
      </c>
      <c r="I95" s="12">
        <v>5027</v>
      </c>
      <c r="J95" s="15">
        <v>9.9</v>
      </c>
      <c r="K95" s="15">
        <v>10.1</v>
      </c>
      <c r="L95" s="15">
        <v>9.8000000000000007</v>
      </c>
      <c r="M95" s="15">
        <v>9.1</v>
      </c>
      <c r="N95" s="15">
        <v>18.348894348894348</v>
      </c>
      <c r="O95" s="15">
        <v>19.41031941031941</v>
      </c>
      <c r="P95" s="15">
        <v>14.496314496314497</v>
      </c>
      <c r="Q95" s="15">
        <v>3.2</v>
      </c>
      <c r="R95" s="15">
        <v>5.7</v>
      </c>
      <c r="S95" s="15">
        <v>35.200000000000003</v>
      </c>
      <c r="T95" s="15">
        <v>2.2000000000000002</v>
      </c>
      <c r="U95" s="12">
        <v>48</v>
      </c>
      <c r="V95" s="12">
        <v>208</v>
      </c>
      <c r="W95" s="15">
        <v>28.7</v>
      </c>
      <c r="X95" s="15">
        <v>18.7</v>
      </c>
      <c r="Y95" s="24">
        <v>87</v>
      </c>
      <c r="Z95" s="19">
        <v>4.0999999999999996</v>
      </c>
      <c r="AA95" s="19">
        <v>2.9</v>
      </c>
      <c r="AB95" s="19">
        <v>12</v>
      </c>
      <c r="AC95" s="49">
        <v>2</v>
      </c>
      <c r="AD95" s="27">
        <v>2</v>
      </c>
      <c r="AE95" s="27">
        <v>4</v>
      </c>
      <c r="AF95" s="31">
        <v>0</v>
      </c>
      <c r="AG95" s="15">
        <v>61.493348591045624</v>
      </c>
      <c r="AH95" s="44">
        <v>11.4</v>
      </c>
      <c r="AI95" s="44">
        <v>10.8</v>
      </c>
      <c r="AJ95" s="44">
        <v>66</v>
      </c>
      <c r="AK95" s="44">
        <v>13.5</v>
      </c>
      <c r="AL95" s="44">
        <v>13.3</v>
      </c>
      <c r="AM95" s="44">
        <v>77</v>
      </c>
      <c r="AN95" s="19"/>
      <c r="AO95" s="19"/>
      <c r="AP95" s="84">
        <v>0</v>
      </c>
      <c r="AQ95" s="60">
        <v>13440</v>
      </c>
      <c r="AR95" s="60">
        <v>5546</v>
      </c>
      <c r="AS95" s="60">
        <v>4588</v>
      </c>
      <c r="AT95" s="60">
        <v>9408.1569999999992</v>
      </c>
      <c r="AU95" s="24">
        <v>37016</v>
      </c>
      <c r="AV95" s="60">
        <v>5176.4771113349316</v>
      </c>
      <c r="AW95" s="24">
        <v>11837.059499999999</v>
      </c>
      <c r="AX95" s="24">
        <v>10932.156999999999</v>
      </c>
      <c r="AY95" s="60">
        <v>660.29809999999998</v>
      </c>
      <c r="AZ95" s="60">
        <v>0</v>
      </c>
    </row>
    <row r="96" spans="1:52">
      <c r="A96" s="3" t="s">
        <v>94</v>
      </c>
      <c r="B96" s="7" t="s">
        <v>263</v>
      </c>
      <c r="C96" s="7" t="s">
        <v>261</v>
      </c>
      <c r="D96" s="15">
        <v>18.898809523809522</v>
      </c>
      <c r="E96" s="15">
        <v>52.02</v>
      </c>
      <c r="F96" s="15" t="s">
        <v>280</v>
      </c>
      <c r="G96" s="12">
        <v>6107.7586344380416</v>
      </c>
      <c r="H96" s="12">
        <v>3297</v>
      </c>
      <c r="I96" s="12">
        <v>2810</v>
      </c>
      <c r="J96" s="15">
        <v>11.7</v>
      </c>
      <c r="K96" s="15">
        <v>9.6999999999999993</v>
      </c>
      <c r="L96" s="15">
        <v>10</v>
      </c>
      <c r="M96" s="15">
        <v>20.6</v>
      </c>
      <c r="N96" s="15">
        <v>19.826457105435495</v>
      </c>
      <c r="O96" s="15">
        <v>9.9705304518664057</v>
      </c>
      <c r="P96" s="15">
        <v>9.5448592010478066</v>
      </c>
      <c r="Q96" s="15">
        <v>2.6</v>
      </c>
      <c r="R96" s="15">
        <v>6.1</v>
      </c>
      <c r="S96" s="15">
        <v>44.1</v>
      </c>
      <c r="T96" s="15">
        <v>2.1</v>
      </c>
      <c r="U96" s="12">
        <v>-61</v>
      </c>
      <c r="V96" s="12">
        <v>97</v>
      </c>
      <c r="W96" s="15" t="s">
        <v>280</v>
      </c>
      <c r="X96" s="15" t="s">
        <v>280</v>
      </c>
      <c r="Y96" s="24" t="s">
        <v>280</v>
      </c>
      <c r="Z96" s="19">
        <v>0.1</v>
      </c>
      <c r="AA96" s="19">
        <v>0.1</v>
      </c>
      <c r="AB96" s="19" t="s">
        <v>280</v>
      </c>
      <c r="AC96" s="49">
        <v>4</v>
      </c>
      <c r="AD96" s="27">
        <v>4</v>
      </c>
      <c r="AE96" s="27">
        <v>4</v>
      </c>
      <c r="AF96" s="31">
        <v>3.4</v>
      </c>
      <c r="AG96" s="15">
        <v>77.19097916071938</v>
      </c>
      <c r="AH96" s="44">
        <v>3.4</v>
      </c>
      <c r="AI96" s="46" t="s">
        <v>280</v>
      </c>
      <c r="AJ96" s="44" t="s">
        <v>280</v>
      </c>
      <c r="AK96" s="44" t="s">
        <v>280</v>
      </c>
      <c r="AL96" s="44" t="s">
        <v>280</v>
      </c>
      <c r="AM96" s="44" t="s">
        <v>280</v>
      </c>
      <c r="AN96" s="19"/>
      <c r="AO96" s="19"/>
      <c r="AP96" s="84">
        <v>0</v>
      </c>
      <c r="AQ96" s="60">
        <v>22013</v>
      </c>
      <c r="AR96" s="60">
        <v>7955</v>
      </c>
      <c r="AS96" s="60">
        <v>7295</v>
      </c>
      <c r="AT96" s="60">
        <v>7792.97</v>
      </c>
      <c r="AU96" s="24">
        <v>47694</v>
      </c>
      <c r="AV96" s="60">
        <v>11406.803079475349</v>
      </c>
      <c r="AW96" s="24">
        <v>9044.56</v>
      </c>
      <c r="AX96" s="24">
        <v>8181.97</v>
      </c>
      <c r="AY96" s="60">
        <v>337.07</v>
      </c>
      <c r="AZ96" s="60">
        <v>0</v>
      </c>
    </row>
    <row r="97" spans="1:52">
      <c r="A97" s="3" t="s">
        <v>95</v>
      </c>
      <c r="B97" s="7" t="s">
        <v>263</v>
      </c>
      <c r="C97" s="7" t="s">
        <v>261</v>
      </c>
      <c r="D97" s="15">
        <v>17.157050057317537</v>
      </c>
      <c r="E97" s="15">
        <v>30.2</v>
      </c>
      <c r="F97" s="15" t="s">
        <v>280</v>
      </c>
      <c r="G97" s="12">
        <v>5516.5197417680174</v>
      </c>
      <c r="H97" s="12">
        <v>2795</v>
      </c>
      <c r="I97" s="12">
        <v>2721</v>
      </c>
      <c r="J97" s="15">
        <v>7.4</v>
      </c>
      <c r="K97" s="15">
        <v>9.6</v>
      </c>
      <c r="L97" s="15">
        <v>10.3</v>
      </c>
      <c r="M97" s="15">
        <v>9.1999999999999993</v>
      </c>
      <c r="N97" s="15">
        <v>13.612470545586369</v>
      </c>
      <c r="O97" s="15">
        <v>17.328258111292367</v>
      </c>
      <c r="P97" s="15">
        <v>19.902120717781401</v>
      </c>
      <c r="Q97" s="15">
        <v>4.4000000000000004</v>
      </c>
      <c r="R97" s="15">
        <v>8.1999999999999993</v>
      </c>
      <c r="S97" s="15">
        <v>32.799999999999997</v>
      </c>
      <c r="T97" s="15">
        <v>2</v>
      </c>
      <c r="U97" s="12">
        <v>25</v>
      </c>
      <c r="V97" s="12">
        <v>122</v>
      </c>
      <c r="W97" s="15">
        <v>2.1</v>
      </c>
      <c r="X97" s="15">
        <v>2.1</v>
      </c>
      <c r="Y97" s="24">
        <v>3</v>
      </c>
      <c r="Z97" s="19">
        <v>2.1</v>
      </c>
      <c r="AA97" s="19">
        <v>0.9</v>
      </c>
      <c r="AB97" s="19">
        <v>1</v>
      </c>
      <c r="AC97" s="49">
        <v>7</v>
      </c>
      <c r="AD97" s="27">
        <v>7</v>
      </c>
      <c r="AE97" s="27">
        <v>6</v>
      </c>
      <c r="AF97" s="31">
        <v>0</v>
      </c>
      <c r="AG97" s="15">
        <v>70.889003083247687</v>
      </c>
      <c r="AH97" s="44">
        <v>20.7</v>
      </c>
      <c r="AI97" s="44">
        <v>20.7</v>
      </c>
      <c r="AJ97" s="44">
        <v>94</v>
      </c>
      <c r="AK97" s="44">
        <v>4.9000000000000004</v>
      </c>
      <c r="AL97" s="44">
        <v>4.9000000000000004</v>
      </c>
      <c r="AM97" s="44">
        <v>24</v>
      </c>
      <c r="AN97" s="19"/>
      <c r="AO97" s="19"/>
      <c r="AP97" s="84">
        <v>0</v>
      </c>
      <c r="AQ97" s="60">
        <v>31049</v>
      </c>
      <c r="AR97" s="60">
        <v>11957</v>
      </c>
      <c r="AS97" s="60">
        <v>11279</v>
      </c>
      <c r="AT97" s="60">
        <v>12808.63</v>
      </c>
      <c r="AU97" s="24">
        <v>26466</v>
      </c>
      <c r="AV97" s="60">
        <v>10390.246511042098</v>
      </c>
      <c r="AW97" s="24">
        <v>12984.661</v>
      </c>
      <c r="AX97" s="24">
        <v>12148.63</v>
      </c>
      <c r="AY97" s="60">
        <v>312.20800000000003</v>
      </c>
      <c r="AZ97" s="60">
        <v>16.295999999999999</v>
      </c>
    </row>
    <row r="98" spans="1:52">
      <c r="A98" s="3" t="s">
        <v>96</v>
      </c>
      <c r="B98" s="7" t="s">
        <v>263</v>
      </c>
      <c r="C98" s="7" t="s">
        <v>260</v>
      </c>
      <c r="D98" s="15">
        <v>19.682394258665443</v>
      </c>
      <c r="E98" s="15">
        <v>17.66</v>
      </c>
      <c r="F98" s="15">
        <v>100</v>
      </c>
      <c r="G98" s="12">
        <v>12432.91800354159</v>
      </c>
      <c r="H98" s="12">
        <v>6280</v>
      </c>
      <c r="I98" s="12">
        <v>6153</v>
      </c>
      <c r="J98" s="15">
        <v>7.7</v>
      </c>
      <c r="K98" s="15">
        <v>7.6</v>
      </c>
      <c r="L98" s="15">
        <v>7.9</v>
      </c>
      <c r="M98" s="15">
        <v>8.1</v>
      </c>
      <c r="N98" s="15">
        <v>17.477680366765867</v>
      </c>
      <c r="O98" s="15">
        <v>22.319633234134965</v>
      </c>
      <c r="P98" s="15">
        <v>16.858360813962843</v>
      </c>
      <c r="Q98" s="15">
        <v>4.2</v>
      </c>
      <c r="R98" s="15">
        <v>7.8</v>
      </c>
      <c r="S98" s="15">
        <v>27.9</v>
      </c>
      <c r="T98" s="15">
        <v>3.1</v>
      </c>
      <c r="U98" s="12">
        <v>-1</v>
      </c>
      <c r="V98" s="12">
        <v>327</v>
      </c>
      <c r="W98" s="15">
        <v>14.1</v>
      </c>
      <c r="X98" s="15">
        <v>13.4</v>
      </c>
      <c r="Y98" s="24">
        <v>60</v>
      </c>
      <c r="Z98" s="19">
        <v>10.5</v>
      </c>
      <c r="AA98" s="19">
        <v>9.6</v>
      </c>
      <c r="AB98" s="19">
        <v>39</v>
      </c>
      <c r="AC98" s="49">
        <v>4</v>
      </c>
      <c r="AD98" s="27">
        <v>4</v>
      </c>
      <c r="AE98" s="27">
        <v>2</v>
      </c>
      <c r="AF98" s="31">
        <v>0</v>
      </c>
      <c r="AG98" s="15">
        <v>53.034760815081185</v>
      </c>
      <c r="AH98" s="44">
        <v>8.3000000000000007</v>
      </c>
      <c r="AI98" s="44">
        <v>8.3000000000000007</v>
      </c>
      <c r="AJ98" s="44">
        <v>39</v>
      </c>
      <c r="AK98" s="44">
        <v>10.4</v>
      </c>
      <c r="AL98" s="44">
        <v>10.4</v>
      </c>
      <c r="AM98" s="44">
        <v>48</v>
      </c>
      <c r="AN98" s="19"/>
      <c r="AO98" s="19"/>
      <c r="AP98" s="84">
        <v>0</v>
      </c>
      <c r="AQ98" s="60">
        <v>22816</v>
      </c>
      <c r="AR98" s="60">
        <v>12338</v>
      </c>
      <c r="AS98" s="60">
        <v>10094</v>
      </c>
      <c r="AT98" s="60">
        <v>13833</v>
      </c>
      <c r="AU98" s="24">
        <v>78725</v>
      </c>
      <c r="AV98" s="60">
        <v>8464.8672154051783</v>
      </c>
      <c r="AW98" s="24">
        <v>17997</v>
      </c>
      <c r="AX98" s="24">
        <v>14755</v>
      </c>
      <c r="AY98" s="60">
        <v>2607</v>
      </c>
      <c r="AZ98" s="60">
        <v>110</v>
      </c>
    </row>
    <row r="99" spans="1:52">
      <c r="A99" s="3" t="s">
        <v>97</v>
      </c>
      <c r="B99" s="7" t="s">
        <v>263</v>
      </c>
      <c r="C99" s="7" t="s">
        <v>261</v>
      </c>
      <c r="D99" s="15">
        <v>17.374743627307353</v>
      </c>
      <c r="E99" s="15">
        <v>28.03</v>
      </c>
      <c r="F99" s="15" t="s">
        <v>280</v>
      </c>
      <c r="G99" s="12">
        <v>7823.4818321144121</v>
      </c>
      <c r="H99" s="12">
        <v>3901</v>
      </c>
      <c r="I99" s="12">
        <v>3923</v>
      </c>
      <c r="J99" s="15">
        <v>7.6</v>
      </c>
      <c r="K99" s="15">
        <v>7.3</v>
      </c>
      <c r="L99" s="15">
        <v>8</v>
      </c>
      <c r="M99" s="15">
        <v>8</v>
      </c>
      <c r="N99" s="15">
        <v>14.112233158634796</v>
      </c>
      <c r="O99" s="15">
        <v>17.614725808513356</v>
      </c>
      <c r="P99" s="15">
        <v>19.736673910264603</v>
      </c>
      <c r="Q99" s="15">
        <v>5</v>
      </c>
      <c r="R99" s="15">
        <v>12.7</v>
      </c>
      <c r="S99" s="15">
        <v>27.5</v>
      </c>
      <c r="T99" s="15">
        <v>5</v>
      </c>
      <c r="U99" s="12">
        <v>119</v>
      </c>
      <c r="V99" s="12">
        <v>175</v>
      </c>
      <c r="W99" s="15">
        <v>0.8</v>
      </c>
      <c r="X99" s="15">
        <v>0.8</v>
      </c>
      <c r="Y99" s="24">
        <v>3</v>
      </c>
      <c r="Z99" s="19">
        <v>4.7</v>
      </c>
      <c r="AA99" s="19">
        <v>3.3</v>
      </c>
      <c r="AB99" s="19">
        <v>11</v>
      </c>
      <c r="AC99" s="49">
        <v>7</v>
      </c>
      <c r="AD99" s="27">
        <v>7</v>
      </c>
      <c r="AE99" s="27">
        <v>8</v>
      </c>
      <c r="AF99" s="31">
        <v>3.5</v>
      </c>
      <c r="AG99" s="15">
        <v>75.804701627486438</v>
      </c>
      <c r="AH99" s="44">
        <v>1.2</v>
      </c>
      <c r="AI99" s="44">
        <v>1.1000000000000001</v>
      </c>
      <c r="AJ99" s="44">
        <v>4</v>
      </c>
      <c r="AK99" s="44">
        <v>4.0999999999999996</v>
      </c>
      <c r="AL99" s="44">
        <v>3.9</v>
      </c>
      <c r="AM99" s="44">
        <v>13</v>
      </c>
      <c r="AN99" s="19"/>
      <c r="AO99" s="19"/>
      <c r="AP99" s="84">
        <v>0</v>
      </c>
      <c r="AQ99" s="60">
        <v>39435</v>
      </c>
      <c r="AR99" s="60">
        <v>27796</v>
      </c>
      <c r="AS99" s="60">
        <v>14706</v>
      </c>
      <c r="AT99" s="60">
        <v>14880.64</v>
      </c>
      <c r="AU99" s="24">
        <v>15363</v>
      </c>
      <c r="AV99" s="60">
        <v>7003.4034942204144</v>
      </c>
      <c r="AW99" s="24">
        <v>29636.02</v>
      </c>
      <c r="AX99" s="24">
        <v>15902.64</v>
      </c>
      <c r="AY99" s="60">
        <v>7877.07</v>
      </c>
      <c r="AZ99" s="60">
        <v>0</v>
      </c>
    </row>
    <row r="100" spans="1:52">
      <c r="A100" s="3" t="s">
        <v>98</v>
      </c>
      <c r="B100" s="7" t="s">
        <v>263</v>
      </c>
      <c r="C100" s="7" t="s">
        <v>261</v>
      </c>
      <c r="D100" s="15">
        <v>19.008515815085158</v>
      </c>
      <c r="E100" s="15">
        <v>15.88</v>
      </c>
      <c r="F100" s="15" t="s">
        <v>280</v>
      </c>
      <c r="G100" s="12">
        <v>6880.6824112352097</v>
      </c>
      <c r="H100" s="12">
        <v>3320</v>
      </c>
      <c r="I100" s="12">
        <v>3560</v>
      </c>
      <c r="J100" s="15">
        <v>7.3</v>
      </c>
      <c r="K100" s="15">
        <v>6.8</v>
      </c>
      <c r="L100" s="15">
        <v>6</v>
      </c>
      <c r="M100" s="15">
        <v>5.3</v>
      </c>
      <c r="N100" s="15">
        <v>12.701642203168145</v>
      </c>
      <c r="O100" s="15">
        <v>16.581892166836216</v>
      </c>
      <c r="P100" s="15">
        <v>17.846243278593228</v>
      </c>
      <c r="Q100" s="15">
        <v>6.8</v>
      </c>
      <c r="R100" s="15">
        <v>20.7</v>
      </c>
      <c r="S100" s="15">
        <v>23.2</v>
      </c>
      <c r="T100" s="15">
        <v>9.9</v>
      </c>
      <c r="U100" s="12">
        <v>-19</v>
      </c>
      <c r="V100" s="12">
        <v>193</v>
      </c>
      <c r="W100" s="15">
        <v>1.1000000000000001</v>
      </c>
      <c r="X100" s="15">
        <v>0.8</v>
      </c>
      <c r="Y100" s="24">
        <v>2</v>
      </c>
      <c r="Z100" s="19" t="s">
        <v>280</v>
      </c>
      <c r="AA100" s="19" t="s">
        <v>280</v>
      </c>
      <c r="AB100" s="19" t="s">
        <v>280</v>
      </c>
      <c r="AC100" s="49">
        <v>5</v>
      </c>
      <c r="AD100" s="27">
        <v>5</v>
      </c>
      <c r="AE100" s="27">
        <v>6</v>
      </c>
      <c r="AF100" s="31">
        <v>0</v>
      </c>
      <c r="AG100" s="15">
        <v>62.633889376646181</v>
      </c>
      <c r="AH100" s="44">
        <v>0.4</v>
      </c>
      <c r="AI100" s="44">
        <v>0.4</v>
      </c>
      <c r="AJ100" s="44" t="s">
        <v>280</v>
      </c>
      <c r="AK100" s="44">
        <v>1.3</v>
      </c>
      <c r="AL100" s="44">
        <v>1.3</v>
      </c>
      <c r="AM100" s="44">
        <v>6</v>
      </c>
      <c r="AN100" s="19"/>
      <c r="AO100" s="19"/>
      <c r="AP100" s="84">
        <v>0</v>
      </c>
      <c r="AQ100" s="60">
        <v>18672</v>
      </c>
      <c r="AR100" s="60">
        <v>10456</v>
      </c>
      <c r="AS100" s="60">
        <v>9657</v>
      </c>
      <c r="AT100" s="60">
        <v>11617.968000000001</v>
      </c>
      <c r="AU100" s="24">
        <v>22545</v>
      </c>
      <c r="AV100" s="60">
        <v>5987.3421759346074</v>
      </c>
      <c r="AW100" s="24">
        <v>13950.05</v>
      </c>
      <c r="AX100" s="24">
        <v>12392.968000000001</v>
      </c>
      <c r="AY100" s="60">
        <v>1440.8409999999999</v>
      </c>
      <c r="AZ100" s="60">
        <v>0</v>
      </c>
    </row>
    <row r="101" spans="1:52">
      <c r="A101" s="3" t="s">
        <v>99</v>
      </c>
      <c r="B101" s="7" t="s">
        <v>263</v>
      </c>
      <c r="C101" s="7" t="s">
        <v>261</v>
      </c>
      <c r="D101" s="15">
        <v>11.609797536457595</v>
      </c>
      <c r="E101" s="15">
        <v>63.68</v>
      </c>
      <c r="F101" s="15" t="s">
        <v>280</v>
      </c>
      <c r="G101" s="12">
        <v>16281.10055226867</v>
      </c>
      <c r="H101" s="12">
        <v>8156</v>
      </c>
      <c r="I101" s="12">
        <v>8125</v>
      </c>
      <c r="J101" s="15">
        <v>6.2</v>
      </c>
      <c r="K101" s="15">
        <v>8.9</v>
      </c>
      <c r="L101" s="15">
        <v>11.1</v>
      </c>
      <c r="M101" s="15">
        <v>10</v>
      </c>
      <c r="N101" s="15">
        <v>11.252380074933972</v>
      </c>
      <c r="O101" s="15">
        <v>16.854001596953506</v>
      </c>
      <c r="P101" s="15">
        <v>22.191511577912905</v>
      </c>
      <c r="Q101" s="15">
        <v>4.0999999999999996</v>
      </c>
      <c r="R101" s="15">
        <v>9.5</v>
      </c>
      <c r="S101" s="15">
        <v>32.200000000000003</v>
      </c>
      <c r="T101" s="15">
        <v>3.6</v>
      </c>
      <c r="U101" s="12">
        <v>118</v>
      </c>
      <c r="V101" s="12">
        <v>231</v>
      </c>
      <c r="W101" s="15">
        <v>37</v>
      </c>
      <c r="X101" s="15">
        <v>24.6</v>
      </c>
      <c r="Y101" s="24">
        <v>125</v>
      </c>
      <c r="Z101" s="19">
        <v>10.4</v>
      </c>
      <c r="AA101" s="19">
        <v>10.1</v>
      </c>
      <c r="AB101" s="19">
        <v>46</v>
      </c>
      <c r="AC101" s="49">
        <v>8</v>
      </c>
      <c r="AD101" s="27">
        <v>8</v>
      </c>
      <c r="AE101" s="27">
        <v>5</v>
      </c>
      <c r="AF101" s="31">
        <v>0.4</v>
      </c>
      <c r="AG101" s="15">
        <v>72.182936908807051</v>
      </c>
      <c r="AH101" s="44">
        <v>18.2</v>
      </c>
      <c r="AI101" s="44">
        <v>17.899999999999999</v>
      </c>
      <c r="AJ101" s="44">
        <v>96</v>
      </c>
      <c r="AK101" s="44">
        <v>23.2</v>
      </c>
      <c r="AL101" s="44">
        <v>18.5</v>
      </c>
      <c r="AM101" s="44">
        <v>92</v>
      </c>
      <c r="AN101" s="19"/>
      <c r="AO101" s="19"/>
      <c r="AP101" s="84">
        <v>0</v>
      </c>
      <c r="AQ101" s="60">
        <v>81059</v>
      </c>
      <c r="AR101" s="60">
        <v>44324</v>
      </c>
      <c r="AS101" s="60">
        <v>30232</v>
      </c>
      <c r="AT101" s="60">
        <v>33486.31</v>
      </c>
      <c r="AU101" s="24">
        <v>33168</v>
      </c>
      <c r="AV101" s="60">
        <v>7012.8551588664041</v>
      </c>
      <c r="AW101" s="24">
        <v>47100.12</v>
      </c>
      <c r="AX101" s="24">
        <v>33669.31</v>
      </c>
      <c r="AY101" s="60">
        <v>8213.67</v>
      </c>
      <c r="AZ101" s="60">
        <v>2409.21</v>
      </c>
    </row>
    <row r="102" spans="1:52">
      <c r="A102" s="3" t="s">
        <v>100</v>
      </c>
      <c r="B102" s="7" t="s">
        <v>263</v>
      </c>
      <c r="C102" s="7" t="s">
        <v>260</v>
      </c>
      <c r="D102" s="15">
        <v>13.593652119440383</v>
      </c>
      <c r="E102" s="15">
        <v>15.51</v>
      </c>
      <c r="F102" s="15">
        <v>100</v>
      </c>
      <c r="G102" s="12">
        <v>10742.785601368829</v>
      </c>
      <c r="H102" s="12">
        <v>5511</v>
      </c>
      <c r="I102" s="12">
        <v>5232</v>
      </c>
      <c r="J102" s="15">
        <v>10.199999999999999</v>
      </c>
      <c r="K102" s="15">
        <v>10.1</v>
      </c>
      <c r="L102" s="15">
        <v>10.199999999999999</v>
      </c>
      <c r="M102" s="15">
        <v>9.9</v>
      </c>
      <c r="N102" s="15">
        <v>19.556920785627852</v>
      </c>
      <c r="O102" s="15">
        <v>18.411989202271243</v>
      </c>
      <c r="P102" s="15">
        <v>13.878804803127617</v>
      </c>
      <c r="Q102" s="15">
        <v>2.8</v>
      </c>
      <c r="R102" s="15">
        <v>5</v>
      </c>
      <c r="S102" s="15">
        <v>36.200000000000003</v>
      </c>
      <c r="T102" s="15">
        <v>1.8</v>
      </c>
      <c r="U102" s="12">
        <v>25</v>
      </c>
      <c r="V102" s="12">
        <v>199</v>
      </c>
      <c r="W102" s="15">
        <v>9.9</v>
      </c>
      <c r="X102" s="15">
        <v>9.5</v>
      </c>
      <c r="Y102" s="24">
        <v>41</v>
      </c>
      <c r="Z102" s="19">
        <v>1.9</v>
      </c>
      <c r="AA102" s="19">
        <v>1.9</v>
      </c>
      <c r="AB102" s="19">
        <v>8</v>
      </c>
      <c r="AC102" s="49">
        <v>3</v>
      </c>
      <c r="AD102" s="27">
        <v>2</v>
      </c>
      <c r="AE102" s="27">
        <v>5</v>
      </c>
      <c r="AF102" s="31">
        <v>0.2</v>
      </c>
      <c r="AG102" s="15">
        <v>45.660273216503384</v>
      </c>
      <c r="AH102" s="44">
        <v>7</v>
      </c>
      <c r="AI102" s="44">
        <v>6.5</v>
      </c>
      <c r="AJ102" s="44">
        <v>28</v>
      </c>
      <c r="AK102" s="44">
        <v>9.8000000000000007</v>
      </c>
      <c r="AL102" s="44">
        <v>9.5</v>
      </c>
      <c r="AM102" s="44">
        <v>45</v>
      </c>
      <c r="AN102" s="19"/>
      <c r="AO102" s="19"/>
      <c r="AP102" s="84">
        <v>0</v>
      </c>
      <c r="AQ102" s="60">
        <v>14298.328</v>
      </c>
      <c r="AR102" s="60">
        <v>8933.3279999999995</v>
      </c>
      <c r="AS102" s="60">
        <v>8062.1639999999998</v>
      </c>
      <c r="AT102" s="60">
        <v>17918.25</v>
      </c>
      <c r="AU102" s="24">
        <v>42447</v>
      </c>
      <c r="AV102" s="60">
        <v>5352.7085184193811</v>
      </c>
      <c r="AW102" s="24">
        <v>13665.13</v>
      </c>
      <c r="AX102" s="24">
        <v>12790.25</v>
      </c>
      <c r="AY102" s="60">
        <v>609.41399999999999</v>
      </c>
      <c r="AZ102" s="60">
        <v>206.08600000000001</v>
      </c>
    </row>
    <row r="103" spans="1:52">
      <c r="A103" s="3" t="s">
        <v>101</v>
      </c>
      <c r="B103" s="7" t="s">
        <v>263</v>
      </c>
      <c r="C103" s="7" t="s">
        <v>260</v>
      </c>
      <c r="D103" s="15">
        <v>12.269300753834155</v>
      </c>
      <c r="E103" s="15">
        <v>10.65</v>
      </c>
      <c r="F103" s="15">
        <v>99.8</v>
      </c>
      <c r="G103" s="12">
        <v>8145.2549382014558</v>
      </c>
      <c r="H103" s="12">
        <v>4048</v>
      </c>
      <c r="I103" s="12">
        <v>4097</v>
      </c>
      <c r="J103" s="15">
        <v>8.6999999999999993</v>
      </c>
      <c r="K103" s="15">
        <v>8.9</v>
      </c>
      <c r="L103" s="15">
        <v>9</v>
      </c>
      <c r="M103" s="15">
        <v>9.5</v>
      </c>
      <c r="N103" s="15">
        <v>18.686310620012279</v>
      </c>
      <c r="O103" s="15">
        <v>18.698588090853285</v>
      </c>
      <c r="P103" s="15">
        <v>16.648250460405155</v>
      </c>
      <c r="Q103" s="15">
        <v>3.7</v>
      </c>
      <c r="R103" s="15">
        <v>6.2</v>
      </c>
      <c r="S103" s="15">
        <v>32.200000000000003</v>
      </c>
      <c r="T103" s="15">
        <v>2.4</v>
      </c>
      <c r="U103" s="12">
        <v>-44</v>
      </c>
      <c r="V103" s="12">
        <v>148</v>
      </c>
      <c r="W103" s="15">
        <v>7</v>
      </c>
      <c r="X103" s="15">
        <v>7</v>
      </c>
      <c r="Y103" s="24">
        <v>38</v>
      </c>
      <c r="Z103" s="19">
        <v>8.3000000000000007</v>
      </c>
      <c r="AA103" s="19">
        <v>6.1</v>
      </c>
      <c r="AB103" s="19">
        <v>26</v>
      </c>
      <c r="AC103" s="49">
        <v>3</v>
      </c>
      <c r="AD103" s="27">
        <v>3</v>
      </c>
      <c r="AE103" s="27">
        <v>4</v>
      </c>
      <c r="AF103" s="31">
        <v>0.2</v>
      </c>
      <c r="AG103" s="15">
        <v>43.021608218207582</v>
      </c>
      <c r="AH103" s="44">
        <v>10.3</v>
      </c>
      <c r="AI103" s="44">
        <v>9.8000000000000007</v>
      </c>
      <c r="AJ103" s="44">
        <v>55</v>
      </c>
      <c r="AK103" s="44">
        <v>12.4</v>
      </c>
      <c r="AL103" s="44">
        <v>12.4</v>
      </c>
      <c r="AM103" s="44">
        <v>57</v>
      </c>
      <c r="AN103" s="19"/>
      <c r="AO103" s="19"/>
      <c r="AP103" s="84">
        <v>0</v>
      </c>
      <c r="AQ103" s="60">
        <v>10433</v>
      </c>
      <c r="AR103" s="60">
        <v>5133</v>
      </c>
      <c r="AS103" s="60">
        <v>4247</v>
      </c>
      <c r="AT103" s="60">
        <v>10056</v>
      </c>
      <c r="AU103" s="24">
        <v>34056</v>
      </c>
      <c r="AV103" s="60">
        <v>5588.8981186452438</v>
      </c>
      <c r="AW103" s="24">
        <v>8951</v>
      </c>
      <c r="AX103" s="24">
        <v>8076</v>
      </c>
      <c r="AY103" s="60">
        <v>568</v>
      </c>
      <c r="AZ103" s="60">
        <v>0</v>
      </c>
    </row>
    <row r="104" spans="1:52">
      <c r="A104" s="3" t="s">
        <v>102</v>
      </c>
      <c r="B104" s="7" t="s">
        <v>263</v>
      </c>
      <c r="C104" s="7" t="s">
        <v>260</v>
      </c>
      <c r="D104" s="15">
        <v>15.039643211100099</v>
      </c>
      <c r="E104" s="15">
        <v>10.35</v>
      </c>
      <c r="F104" s="15">
        <v>99.8</v>
      </c>
      <c r="G104" s="12">
        <v>8628.8518980172939</v>
      </c>
      <c r="H104" s="12">
        <v>4342</v>
      </c>
      <c r="I104" s="12">
        <v>4286</v>
      </c>
      <c r="J104" s="15">
        <v>7.9</v>
      </c>
      <c r="K104" s="15">
        <v>8.9</v>
      </c>
      <c r="L104" s="15">
        <v>9</v>
      </c>
      <c r="M104" s="15">
        <v>10</v>
      </c>
      <c r="N104" s="15">
        <v>19.7357747131765</v>
      </c>
      <c r="O104" s="15">
        <v>19.098389152856647</v>
      </c>
      <c r="P104" s="15">
        <v>16.212770888863137</v>
      </c>
      <c r="Q104" s="15">
        <v>3.4</v>
      </c>
      <c r="R104" s="15">
        <v>5.7</v>
      </c>
      <c r="S104" s="15">
        <v>31.9</v>
      </c>
      <c r="T104" s="15">
        <v>2.1</v>
      </c>
      <c r="U104" s="12">
        <v>-10</v>
      </c>
      <c r="V104" s="12">
        <v>155</v>
      </c>
      <c r="W104" s="15">
        <v>0.1</v>
      </c>
      <c r="X104" s="15">
        <v>0.1</v>
      </c>
      <c r="Y104" s="24" t="s">
        <v>280</v>
      </c>
      <c r="Z104" s="19">
        <v>5.2</v>
      </c>
      <c r="AA104" s="19">
        <v>2.6</v>
      </c>
      <c r="AB104" s="19">
        <v>11</v>
      </c>
      <c r="AC104" s="49">
        <v>3</v>
      </c>
      <c r="AD104" s="27">
        <v>2</v>
      </c>
      <c r="AE104" s="27">
        <v>4</v>
      </c>
      <c r="AF104" s="31">
        <v>0.9</v>
      </c>
      <c r="AG104" s="15">
        <v>63.174550299800138</v>
      </c>
      <c r="AH104" s="44">
        <v>3</v>
      </c>
      <c r="AI104" s="44">
        <v>2.4</v>
      </c>
      <c r="AJ104" s="44">
        <v>14</v>
      </c>
      <c r="AK104" s="44">
        <v>1.6</v>
      </c>
      <c r="AL104" s="44">
        <v>1.6</v>
      </c>
      <c r="AM104" s="44">
        <v>7</v>
      </c>
      <c r="AN104" s="19"/>
      <c r="AO104" s="19"/>
      <c r="AP104" s="84">
        <v>0</v>
      </c>
      <c r="AQ104" s="60">
        <v>15437</v>
      </c>
      <c r="AR104" s="60">
        <v>9160</v>
      </c>
      <c r="AS104" s="60">
        <v>5041</v>
      </c>
      <c r="AT104" s="60">
        <v>23267.804</v>
      </c>
      <c r="AU104" s="24">
        <v>37141</v>
      </c>
      <c r="AV104" s="60">
        <v>6088.1032170769922</v>
      </c>
      <c r="AW104" s="24">
        <v>17984.995999999999</v>
      </c>
      <c r="AX104" s="24">
        <v>12028.804</v>
      </c>
      <c r="AY104" s="60">
        <v>3464.0619999999999</v>
      </c>
      <c r="AZ104" s="60">
        <v>11.53</v>
      </c>
    </row>
    <row r="105" spans="1:52">
      <c r="A105" s="3" t="s">
        <v>104</v>
      </c>
      <c r="B105" s="7" t="s">
        <v>263</v>
      </c>
      <c r="C105" s="7" t="s">
        <v>260</v>
      </c>
      <c r="D105" s="15">
        <v>12.965798876978049</v>
      </c>
      <c r="E105" s="15">
        <v>23</v>
      </c>
      <c r="F105" s="15" t="s">
        <v>280</v>
      </c>
      <c r="G105" s="12">
        <v>21616.590292862416</v>
      </c>
      <c r="H105" s="12">
        <v>10920</v>
      </c>
      <c r="I105" s="12">
        <v>10697</v>
      </c>
      <c r="J105" s="15">
        <v>8.1999999999999993</v>
      </c>
      <c r="K105" s="15">
        <v>8.4</v>
      </c>
      <c r="L105" s="15">
        <v>8.5</v>
      </c>
      <c r="M105" s="15">
        <v>9.6999999999999993</v>
      </c>
      <c r="N105" s="15">
        <v>18.564093074894757</v>
      </c>
      <c r="O105" s="15">
        <v>18.466947309987511</v>
      </c>
      <c r="P105" s="15">
        <v>17.925706619789981</v>
      </c>
      <c r="Q105" s="15">
        <v>4</v>
      </c>
      <c r="R105" s="15">
        <v>6.2</v>
      </c>
      <c r="S105" s="15">
        <v>30.8</v>
      </c>
      <c r="T105" s="15">
        <v>2.2000000000000002</v>
      </c>
      <c r="U105" s="12">
        <v>-84</v>
      </c>
      <c r="V105" s="12">
        <v>647</v>
      </c>
      <c r="W105" s="15">
        <v>29.4</v>
      </c>
      <c r="X105" s="15">
        <v>25.2</v>
      </c>
      <c r="Y105" s="24">
        <v>123</v>
      </c>
      <c r="Z105" s="19">
        <v>22</v>
      </c>
      <c r="AA105" s="19">
        <v>18.8</v>
      </c>
      <c r="AB105" s="19">
        <v>98</v>
      </c>
      <c r="AC105" s="49">
        <v>3</v>
      </c>
      <c r="AD105" s="27">
        <v>5</v>
      </c>
      <c r="AE105" s="27">
        <v>6</v>
      </c>
      <c r="AF105" s="31">
        <v>0.1</v>
      </c>
      <c r="AG105" s="15">
        <v>53.634873811864956</v>
      </c>
      <c r="AH105" s="44">
        <v>30.9</v>
      </c>
      <c r="AI105" s="44">
        <v>29.3</v>
      </c>
      <c r="AJ105" s="44">
        <v>139</v>
      </c>
      <c r="AK105" s="44">
        <v>21.6</v>
      </c>
      <c r="AL105" s="44">
        <v>21.4</v>
      </c>
      <c r="AM105" s="44">
        <v>118</v>
      </c>
      <c r="AN105" s="19"/>
      <c r="AO105" s="19"/>
      <c r="AP105" s="84">
        <v>0</v>
      </c>
      <c r="AQ105" s="60">
        <v>64311</v>
      </c>
      <c r="AR105" s="60">
        <v>34951</v>
      </c>
      <c r="AS105" s="60">
        <v>29997</v>
      </c>
      <c r="AT105" s="60">
        <v>39721.39</v>
      </c>
      <c r="AU105" s="24">
        <v>76990</v>
      </c>
      <c r="AV105" s="60">
        <v>6616.3876063191819</v>
      </c>
      <c r="AW105" s="24">
        <v>42337.75</v>
      </c>
      <c r="AX105" s="24">
        <v>36008.39</v>
      </c>
      <c r="AY105" s="60">
        <v>3722.83</v>
      </c>
      <c r="AZ105" s="60">
        <v>0</v>
      </c>
    </row>
    <row r="106" spans="1:52">
      <c r="A106" s="3" t="s">
        <v>106</v>
      </c>
      <c r="B106" s="7" t="s">
        <v>263</v>
      </c>
      <c r="C106" s="7" t="s">
        <v>260</v>
      </c>
      <c r="D106" s="15">
        <v>14.654758474983193</v>
      </c>
      <c r="E106" s="15">
        <v>11.94</v>
      </c>
      <c r="F106" s="15">
        <v>99.8</v>
      </c>
      <c r="G106" s="12">
        <v>6737.7498788745952</v>
      </c>
      <c r="H106" s="12">
        <v>3417</v>
      </c>
      <c r="I106" s="12">
        <v>3320</v>
      </c>
      <c r="J106" s="15">
        <v>7.6</v>
      </c>
      <c r="K106" s="15">
        <v>7.1</v>
      </c>
      <c r="L106" s="15">
        <v>7.4</v>
      </c>
      <c r="M106" s="15">
        <v>8</v>
      </c>
      <c r="N106" s="15">
        <v>17.839121401009201</v>
      </c>
      <c r="O106" s="15">
        <v>21.875927574948058</v>
      </c>
      <c r="P106" s="15">
        <v>17.972692193529237</v>
      </c>
      <c r="Q106" s="15">
        <v>4.7</v>
      </c>
      <c r="R106" s="15">
        <v>7.6</v>
      </c>
      <c r="S106" s="15">
        <v>26.8</v>
      </c>
      <c r="T106" s="15">
        <v>2.8</v>
      </c>
      <c r="U106" s="12">
        <v>42</v>
      </c>
      <c r="V106" s="12">
        <v>258</v>
      </c>
      <c r="W106" s="15">
        <v>7.7</v>
      </c>
      <c r="X106" s="15">
        <v>7.5</v>
      </c>
      <c r="Y106" s="24">
        <v>26</v>
      </c>
      <c r="Z106" s="19">
        <v>5.9</v>
      </c>
      <c r="AA106" s="19">
        <v>5.9</v>
      </c>
      <c r="AB106" s="19">
        <v>19</v>
      </c>
      <c r="AC106" s="49">
        <v>5</v>
      </c>
      <c r="AD106" s="27">
        <v>3</v>
      </c>
      <c r="AE106" s="27">
        <v>4</v>
      </c>
      <c r="AF106" s="31">
        <v>2</v>
      </c>
      <c r="AG106" s="15">
        <v>53.75954965822276</v>
      </c>
      <c r="AH106" s="44">
        <v>14.4</v>
      </c>
      <c r="AI106" s="44">
        <v>13.9</v>
      </c>
      <c r="AJ106" s="44">
        <v>65</v>
      </c>
      <c r="AK106" s="44">
        <v>10.1</v>
      </c>
      <c r="AL106" s="44">
        <v>10.1</v>
      </c>
      <c r="AM106" s="44">
        <v>44</v>
      </c>
      <c r="AN106" s="19"/>
      <c r="AO106" s="19"/>
      <c r="AP106" s="84">
        <v>0</v>
      </c>
      <c r="AQ106" s="60">
        <v>35501</v>
      </c>
      <c r="AR106" s="60">
        <v>19769</v>
      </c>
      <c r="AS106" s="60">
        <v>16600</v>
      </c>
      <c r="AT106" s="60">
        <v>43073.466999999997</v>
      </c>
      <c r="AU106" s="24">
        <v>93933</v>
      </c>
      <c r="AV106" s="60">
        <v>6063.5372287774262</v>
      </c>
      <c r="AW106" s="24">
        <v>30257.076000000001</v>
      </c>
      <c r="AX106" s="24">
        <v>26186.778999999999</v>
      </c>
      <c r="AY106" s="60">
        <v>2562.0949999999998</v>
      </c>
      <c r="AZ106" s="60">
        <v>0</v>
      </c>
    </row>
    <row r="107" spans="1:52">
      <c r="A107" s="3" t="s">
        <v>107</v>
      </c>
      <c r="B107" s="7" t="s">
        <v>263</v>
      </c>
      <c r="C107" s="7" t="s">
        <v>260</v>
      </c>
      <c r="D107" s="15">
        <v>13.416964359890338</v>
      </c>
      <c r="E107" s="15">
        <v>45.95</v>
      </c>
      <c r="F107" s="15" t="s">
        <v>280</v>
      </c>
      <c r="G107" s="12">
        <v>10608.707846848773</v>
      </c>
      <c r="H107" s="12">
        <v>5431</v>
      </c>
      <c r="I107" s="12">
        <v>5178</v>
      </c>
      <c r="J107" s="15">
        <v>10.199999999999999</v>
      </c>
      <c r="K107" s="15">
        <v>10.199999999999999</v>
      </c>
      <c r="L107" s="15">
        <v>9.6</v>
      </c>
      <c r="M107" s="15">
        <v>10.3</v>
      </c>
      <c r="N107" s="15">
        <v>18.804788387218398</v>
      </c>
      <c r="O107" s="15">
        <v>16.881892732585541</v>
      </c>
      <c r="P107" s="15">
        <v>14.581958714299178</v>
      </c>
      <c r="Q107" s="15">
        <v>3.1</v>
      </c>
      <c r="R107" s="15">
        <v>6.4</v>
      </c>
      <c r="S107" s="15">
        <v>35.799999999999997</v>
      </c>
      <c r="T107" s="15">
        <v>2.7</v>
      </c>
      <c r="U107" s="12">
        <v>-34</v>
      </c>
      <c r="V107" s="12">
        <v>94</v>
      </c>
      <c r="W107" s="15">
        <v>21.7</v>
      </c>
      <c r="X107" s="15">
        <v>21</v>
      </c>
      <c r="Y107" s="24">
        <v>93</v>
      </c>
      <c r="Z107" s="24">
        <v>8.5</v>
      </c>
      <c r="AA107" s="24">
        <v>8.3000000000000007</v>
      </c>
      <c r="AB107" s="24">
        <v>34</v>
      </c>
      <c r="AC107" s="49">
        <v>3</v>
      </c>
      <c r="AD107" s="27">
        <v>7</v>
      </c>
      <c r="AE107" s="27">
        <v>6</v>
      </c>
      <c r="AF107" s="31">
        <v>1.2</v>
      </c>
      <c r="AG107" s="15">
        <v>69.502617801047123</v>
      </c>
      <c r="AH107" s="44">
        <v>5.0999999999999996</v>
      </c>
      <c r="AI107" s="44">
        <v>3.5</v>
      </c>
      <c r="AJ107" s="44">
        <v>21</v>
      </c>
      <c r="AK107" s="44">
        <v>3</v>
      </c>
      <c r="AL107" s="44">
        <v>2.7</v>
      </c>
      <c r="AM107" s="44">
        <v>15</v>
      </c>
      <c r="AN107" s="19"/>
      <c r="AO107" s="19"/>
      <c r="AP107" s="84">
        <v>0</v>
      </c>
      <c r="AQ107" s="60">
        <v>113309</v>
      </c>
      <c r="AR107" s="60">
        <v>66161</v>
      </c>
      <c r="AS107" s="60">
        <v>51111</v>
      </c>
      <c r="AT107" s="60">
        <v>55229</v>
      </c>
      <c r="AU107" s="24">
        <v>71039</v>
      </c>
      <c r="AV107" s="60">
        <v>5975.2763720385792</v>
      </c>
      <c r="AW107" s="24">
        <v>77696.847999999998</v>
      </c>
      <c r="AX107" s="24">
        <v>59351</v>
      </c>
      <c r="AY107" s="60">
        <v>9332</v>
      </c>
      <c r="AZ107" s="60">
        <v>107</v>
      </c>
    </row>
    <row r="108" spans="1:52">
      <c r="A108" s="3" t="s">
        <v>110</v>
      </c>
      <c r="B108" s="7" t="s">
        <v>263</v>
      </c>
      <c r="C108" s="7" t="s">
        <v>260</v>
      </c>
      <c r="D108" s="15">
        <v>14.678641594162222</v>
      </c>
      <c r="E108" s="15">
        <v>22.93</v>
      </c>
      <c r="F108" s="15">
        <v>100</v>
      </c>
      <c r="G108" s="12">
        <v>15502.047313178178</v>
      </c>
      <c r="H108" s="12">
        <v>7736</v>
      </c>
      <c r="I108" s="12">
        <v>7766</v>
      </c>
      <c r="J108" s="15">
        <v>10.8</v>
      </c>
      <c r="K108" s="15">
        <v>11.3</v>
      </c>
      <c r="L108" s="15">
        <v>10.5</v>
      </c>
      <c r="M108" s="15">
        <v>10.6</v>
      </c>
      <c r="N108" s="15">
        <v>18.59114952909302</v>
      </c>
      <c r="O108" s="15">
        <v>19.57811895239324</v>
      </c>
      <c r="P108" s="15">
        <v>12.940265772158433</v>
      </c>
      <c r="Q108" s="15">
        <v>2.4</v>
      </c>
      <c r="R108" s="15">
        <v>3.5</v>
      </c>
      <c r="S108" s="15">
        <v>38.700000000000003</v>
      </c>
      <c r="T108" s="15">
        <v>0.9</v>
      </c>
      <c r="U108" s="12">
        <v>-34</v>
      </c>
      <c r="V108" s="12">
        <v>273</v>
      </c>
      <c r="W108" s="15">
        <v>20.8</v>
      </c>
      <c r="X108" s="15">
        <v>20.8</v>
      </c>
      <c r="Y108" s="24">
        <v>113</v>
      </c>
      <c r="Z108" s="19">
        <v>15.3</v>
      </c>
      <c r="AA108" s="19">
        <v>8.6</v>
      </c>
      <c r="AB108" s="19">
        <v>50</v>
      </c>
      <c r="AC108" s="49">
        <v>2</v>
      </c>
      <c r="AD108" s="27">
        <v>5</v>
      </c>
      <c r="AE108" s="27">
        <v>4</v>
      </c>
      <c r="AF108" s="31">
        <v>0</v>
      </c>
      <c r="AG108" s="15">
        <v>43.378661087866114</v>
      </c>
      <c r="AH108" s="44">
        <v>13.5</v>
      </c>
      <c r="AI108" s="44">
        <v>13.3</v>
      </c>
      <c r="AJ108" s="44">
        <v>75</v>
      </c>
      <c r="AK108" s="44">
        <v>13.7</v>
      </c>
      <c r="AL108" s="44">
        <v>12.1</v>
      </c>
      <c r="AM108" s="44">
        <v>68</v>
      </c>
      <c r="AN108" s="19"/>
      <c r="AO108" s="19"/>
      <c r="AP108" s="84">
        <v>0</v>
      </c>
      <c r="AQ108" s="60">
        <v>15634</v>
      </c>
      <c r="AR108" s="60">
        <v>9863</v>
      </c>
      <c r="AS108" s="60">
        <v>6430</v>
      </c>
      <c r="AT108" s="60">
        <v>11359.81</v>
      </c>
      <c r="AU108" s="24">
        <v>29936</v>
      </c>
      <c r="AV108" s="60">
        <v>7101.9258447142802</v>
      </c>
      <c r="AW108" s="24">
        <v>12292.35</v>
      </c>
      <c r="AX108" s="24">
        <v>8560.81</v>
      </c>
      <c r="AY108" s="60">
        <v>1565.18</v>
      </c>
      <c r="AZ108" s="60">
        <v>1077.0999999999999</v>
      </c>
    </row>
    <row r="109" spans="1:52">
      <c r="A109" s="3" t="s">
        <v>111</v>
      </c>
      <c r="B109" s="7" t="s">
        <v>263</v>
      </c>
      <c r="C109" s="7" t="s">
        <v>260</v>
      </c>
      <c r="D109" s="15">
        <v>15.798842901646641</v>
      </c>
      <c r="E109" s="15">
        <v>12.97</v>
      </c>
      <c r="F109" s="15">
        <v>98.6</v>
      </c>
      <c r="G109" s="12">
        <v>3215.7137126910989</v>
      </c>
      <c r="H109" s="12">
        <v>1570</v>
      </c>
      <c r="I109" s="12">
        <v>1645</v>
      </c>
      <c r="J109" s="15">
        <v>6.5</v>
      </c>
      <c r="K109" s="15">
        <v>6.8</v>
      </c>
      <c r="L109" s="15">
        <v>7.4</v>
      </c>
      <c r="M109" s="15">
        <v>7.7</v>
      </c>
      <c r="N109" s="15">
        <v>15.609452736318408</v>
      </c>
      <c r="O109" s="15">
        <v>19.278606965174131</v>
      </c>
      <c r="P109" s="15">
        <v>18.470149253731343</v>
      </c>
      <c r="Q109" s="15">
        <v>5</v>
      </c>
      <c r="R109" s="15">
        <v>13.2</v>
      </c>
      <c r="S109" s="15">
        <v>25</v>
      </c>
      <c r="T109" s="15">
        <v>7.1</v>
      </c>
      <c r="U109" s="12">
        <v>-13</v>
      </c>
      <c r="V109" s="12">
        <v>84</v>
      </c>
      <c r="W109" s="15">
        <v>2.8</v>
      </c>
      <c r="X109" s="15">
        <v>0.9</v>
      </c>
      <c r="Y109" s="24">
        <v>3</v>
      </c>
      <c r="Z109" s="19">
        <v>2</v>
      </c>
      <c r="AA109" s="19">
        <v>0.2</v>
      </c>
      <c r="AB109" s="19">
        <v>1</v>
      </c>
      <c r="AC109" s="49">
        <v>7</v>
      </c>
      <c r="AD109" s="27">
        <v>3</v>
      </c>
      <c r="AE109" s="27">
        <v>7</v>
      </c>
      <c r="AF109" s="31">
        <v>0.8</v>
      </c>
      <c r="AG109" s="15">
        <v>49.590323839250878</v>
      </c>
      <c r="AH109" s="44">
        <v>9.1999999999999993</v>
      </c>
      <c r="AI109" s="44">
        <v>3</v>
      </c>
      <c r="AJ109" s="44">
        <v>11</v>
      </c>
      <c r="AK109" s="44">
        <v>1.6</v>
      </c>
      <c r="AL109" s="44">
        <v>1.6</v>
      </c>
      <c r="AM109" s="44">
        <v>4</v>
      </c>
      <c r="AN109" s="19"/>
      <c r="AO109" s="19"/>
      <c r="AP109" s="84">
        <v>0</v>
      </c>
      <c r="AQ109" s="60">
        <v>16166</v>
      </c>
      <c r="AR109" s="60">
        <v>7769</v>
      </c>
      <c r="AS109" s="60">
        <v>6213</v>
      </c>
      <c r="AT109" s="60">
        <v>30800.075499999999</v>
      </c>
      <c r="AU109" s="24">
        <v>47710</v>
      </c>
      <c r="AV109" s="60">
        <v>6433.6770307303714</v>
      </c>
      <c r="AW109" s="24">
        <v>10805.9177</v>
      </c>
      <c r="AX109" s="24">
        <v>8484.0755000000008</v>
      </c>
      <c r="AY109" s="60">
        <v>1580.2627</v>
      </c>
      <c r="AZ109" s="60">
        <v>0</v>
      </c>
    </row>
    <row r="110" spans="1:52">
      <c r="A110" s="3" t="s">
        <v>112</v>
      </c>
      <c r="B110" s="7" t="s">
        <v>263</v>
      </c>
      <c r="C110" s="7" t="s">
        <v>260</v>
      </c>
      <c r="D110" s="15">
        <v>15.546329829520362</v>
      </c>
      <c r="E110" s="15">
        <v>36.9</v>
      </c>
      <c r="F110" s="15" t="s">
        <v>280</v>
      </c>
      <c r="G110" s="12">
        <v>12644.981611642253</v>
      </c>
      <c r="H110" s="12">
        <v>6434</v>
      </c>
      <c r="I110" s="12">
        <v>6211</v>
      </c>
      <c r="J110" s="15">
        <v>9.5</v>
      </c>
      <c r="K110" s="15">
        <v>9.1</v>
      </c>
      <c r="L110" s="15">
        <v>8.8000000000000007</v>
      </c>
      <c r="M110" s="15">
        <v>8.6999999999999993</v>
      </c>
      <c r="N110" s="15">
        <v>17.714511664689599</v>
      </c>
      <c r="O110" s="15">
        <v>19.715302491103202</v>
      </c>
      <c r="P110" s="15">
        <v>15.041518386714117</v>
      </c>
      <c r="Q110" s="15">
        <v>4.3</v>
      </c>
      <c r="R110" s="15">
        <v>7.1</v>
      </c>
      <c r="S110" s="15">
        <v>32.4</v>
      </c>
      <c r="T110" s="15">
        <v>2.2999999999999998</v>
      </c>
      <c r="U110" s="12">
        <v>-27</v>
      </c>
      <c r="V110" s="12">
        <v>188</v>
      </c>
      <c r="W110" s="15">
        <v>11.2</v>
      </c>
      <c r="X110" s="15">
        <v>6.2</v>
      </c>
      <c r="Y110" s="24">
        <v>29</v>
      </c>
      <c r="Z110" s="19">
        <v>4.9000000000000004</v>
      </c>
      <c r="AA110" s="19">
        <v>4.4000000000000004</v>
      </c>
      <c r="AB110" s="19">
        <v>20</v>
      </c>
      <c r="AC110" s="49">
        <v>5</v>
      </c>
      <c r="AD110" s="27">
        <v>7</v>
      </c>
      <c r="AE110" s="27">
        <v>6</v>
      </c>
      <c r="AF110" s="31">
        <v>1.8</v>
      </c>
      <c r="AG110" s="15">
        <v>39.832068092937654</v>
      </c>
      <c r="AH110" s="44">
        <v>2.5</v>
      </c>
      <c r="AI110" s="44">
        <v>2.5</v>
      </c>
      <c r="AJ110" s="44">
        <v>9</v>
      </c>
      <c r="AK110" s="47" t="s">
        <v>280</v>
      </c>
      <c r="AL110" s="47" t="s">
        <v>280</v>
      </c>
      <c r="AM110" s="47" t="s">
        <v>280</v>
      </c>
      <c r="AN110" s="19"/>
      <c r="AO110" s="19"/>
      <c r="AP110" s="84">
        <v>0</v>
      </c>
      <c r="AQ110" s="60">
        <v>85374</v>
      </c>
      <c r="AR110" s="60">
        <v>56252</v>
      </c>
      <c r="AS110" s="60">
        <v>39179</v>
      </c>
      <c r="AT110" s="60">
        <v>40731</v>
      </c>
      <c r="AU110" s="24">
        <v>49717</v>
      </c>
      <c r="AV110" s="60">
        <v>5481.4601431647015</v>
      </c>
      <c r="AW110" s="24">
        <v>63932</v>
      </c>
      <c r="AX110" s="24">
        <v>44780</v>
      </c>
      <c r="AY110" s="60">
        <v>5964</v>
      </c>
      <c r="AZ110" s="60">
        <v>6106</v>
      </c>
    </row>
    <row r="111" spans="1:52">
      <c r="A111" s="3" t="s">
        <v>103</v>
      </c>
      <c r="B111" s="7" t="s">
        <v>263</v>
      </c>
      <c r="C111" s="7" t="s">
        <v>261</v>
      </c>
      <c r="D111" s="15">
        <v>13.303837843399528</v>
      </c>
      <c r="E111" s="15">
        <v>58.02</v>
      </c>
      <c r="F111" s="15" t="s">
        <v>280</v>
      </c>
      <c r="G111" s="12">
        <v>21097.161820852696</v>
      </c>
      <c r="H111" s="12">
        <v>10563</v>
      </c>
      <c r="I111" s="12">
        <v>10534</v>
      </c>
      <c r="J111" s="15">
        <v>15.4</v>
      </c>
      <c r="K111" s="15">
        <v>14.1</v>
      </c>
      <c r="L111" s="15">
        <v>11.6</v>
      </c>
      <c r="M111" s="15">
        <v>6.9</v>
      </c>
      <c r="N111" s="15">
        <v>14.073090960800114</v>
      </c>
      <c r="O111" s="15">
        <v>17.395838270844198</v>
      </c>
      <c r="P111" s="15">
        <v>9.622221168886572</v>
      </c>
      <c r="Q111" s="15">
        <v>3.3</v>
      </c>
      <c r="R111" s="15">
        <v>7.7</v>
      </c>
      <c r="S111" s="15">
        <v>45.3</v>
      </c>
      <c r="T111" s="15">
        <v>2.6</v>
      </c>
      <c r="U111" s="12">
        <v>576</v>
      </c>
      <c r="V111" s="12">
        <v>378</v>
      </c>
      <c r="W111" s="15">
        <v>12.9</v>
      </c>
      <c r="X111" s="15">
        <v>12.9</v>
      </c>
      <c r="Y111" s="24">
        <v>61</v>
      </c>
      <c r="Z111" s="24">
        <v>12</v>
      </c>
      <c r="AA111" s="24">
        <v>12</v>
      </c>
      <c r="AB111" s="24">
        <v>36</v>
      </c>
      <c r="AC111" s="49">
        <v>4</v>
      </c>
      <c r="AD111" s="27">
        <v>9</v>
      </c>
      <c r="AE111" s="27">
        <v>9</v>
      </c>
      <c r="AF111" s="31">
        <v>0</v>
      </c>
      <c r="AG111" s="15">
        <v>76.928565765480059</v>
      </c>
      <c r="AH111" s="44">
        <v>38.9</v>
      </c>
      <c r="AI111" s="44">
        <v>38.9</v>
      </c>
      <c r="AJ111" s="44">
        <v>285</v>
      </c>
      <c r="AK111" s="44">
        <v>17.399999999999999</v>
      </c>
      <c r="AL111" s="44">
        <v>17.100000000000001</v>
      </c>
      <c r="AM111" s="44">
        <v>98</v>
      </c>
      <c r="AN111" s="19"/>
      <c r="AO111" s="19"/>
      <c r="AP111" s="84">
        <v>0</v>
      </c>
      <c r="AQ111" s="60">
        <v>103498</v>
      </c>
      <c r="AR111" s="60">
        <v>68629</v>
      </c>
      <c r="AS111" s="60">
        <v>63529</v>
      </c>
      <c r="AT111" s="60">
        <v>66599</v>
      </c>
      <c r="AU111" s="24">
        <v>64393</v>
      </c>
      <c r="AV111" s="60">
        <v>7099.08553260197</v>
      </c>
      <c r="AW111" s="24">
        <v>75117</v>
      </c>
      <c r="AX111" s="24">
        <v>70804</v>
      </c>
      <c r="AY111" s="60">
        <v>3935</v>
      </c>
      <c r="AZ111" s="60">
        <v>0</v>
      </c>
    </row>
    <row r="112" spans="1:52">
      <c r="A112" s="3" t="s">
        <v>105</v>
      </c>
      <c r="B112" s="7" t="s">
        <v>263</v>
      </c>
      <c r="C112" s="7" t="s">
        <v>261</v>
      </c>
      <c r="D112" s="15">
        <v>7.1668704156479217</v>
      </c>
      <c r="E112" s="15">
        <v>2.39</v>
      </c>
      <c r="F112" s="15">
        <v>99.9</v>
      </c>
      <c r="G112" s="12">
        <v>31437.541680756109</v>
      </c>
      <c r="H112" s="12">
        <v>15233</v>
      </c>
      <c r="I112" s="12">
        <v>16205</v>
      </c>
      <c r="J112" s="15">
        <v>7.5</v>
      </c>
      <c r="K112" s="15">
        <v>9.3000000000000007</v>
      </c>
      <c r="L112" s="15">
        <v>10.3</v>
      </c>
      <c r="M112" s="15">
        <v>10.8</v>
      </c>
      <c r="N112" s="15">
        <v>11.734207010624086</v>
      </c>
      <c r="O112" s="15">
        <v>17.424772568229532</v>
      </c>
      <c r="P112" s="15">
        <v>18.894331700489854</v>
      </c>
      <c r="Q112" s="15">
        <v>3.2</v>
      </c>
      <c r="R112" s="15">
        <v>10.9</v>
      </c>
      <c r="S112" s="15">
        <v>34</v>
      </c>
      <c r="T112" s="15">
        <v>5.2</v>
      </c>
      <c r="U112" s="12">
        <v>819</v>
      </c>
      <c r="V112" s="12">
        <v>563</v>
      </c>
      <c r="W112" s="15">
        <v>53.1</v>
      </c>
      <c r="X112" s="15">
        <v>30.3</v>
      </c>
      <c r="Y112" s="24">
        <v>153</v>
      </c>
      <c r="Z112" s="19">
        <v>39.799999999999997</v>
      </c>
      <c r="AA112" s="19">
        <v>37.6</v>
      </c>
      <c r="AB112" s="19">
        <v>189</v>
      </c>
      <c r="AC112" s="49">
        <v>7</v>
      </c>
      <c r="AD112" s="27">
        <v>2</v>
      </c>
      <c r="AE112" s="27">
        <v>5</v>
      </c>
      <c r="AF112" s="31">
        <v>0.1</v>
      </c>
      <c r="AG112" s="15">
        <v>72.431828568526896</v>
      </c>
      <c r="AH112" s="44">
        <v>17.2</v>
      </c>
      <c r="AI112" s="44">
        <v>15.5</v>
      </c>
      <c r="AJ112" s="44">
        <v>80</v>
      </c>
      <c r="AK112" s="44">
        <v>31.7</v>
      </c>
      <c r="AL112" s="44">
        <v>30.8</v>
      </c>
      <c r="AM112" s="44">
        <v>168</v>
      </c>
      <c r="AN112" s="19"/>
      <c r="AO112" s="19"/>
      <c r="AP112" s="84">
        <v>0</v>
      </c>
      <c r="AQ112" s="60">
        <v>22864</v>
      </c>
      <c r="AR112" s="60">
        <v>10282</v>
      </c>
      <c r="AS112" s="60">
        <v>9968</v>
      </c>
      <c r="AT112" s="60">
        <v>39333.613009663</v>
      </c>
      <c r="AU112" s="24">
        <v>91827</v>
      </c>
      <c r="AV112" s="60">
        <v>7624.6058092934336</v>
      </c>
      <c r="AW112" s="24">
        <v>21215</v>
      </c>
      <c r="AX112" s="24">
        <v>19555</v>
      </c>
      <c r="AY112" s="60">
        <v>1496</v>
      </c>
      <c r="AZ112" s="60">
        <v>0</v>
      </c>
    </row>
    <row r="113" spans="1:52">
      <c r="A113" s="3" t="s">
        <v>108</v>
      </c>
      <c r="B113" s="7" t="s">
        <v>263</v>
      </c>
      <c r="C113" s="7" t="s">
        <v>261</v>
      </c>
      <c r="D113" s="15">
        <v>13.014119091467158</v>
      </c>
      <c r="E113" s="15">
        <v>28.2</v>
      </c>
      <c r="F113" s="15">
        <v>98.5</v>
      </c>
      <c r="G113" s="12">
        <v>24574.109175631125</v>
      </c>
      <c r="H113" s="12">
        <v>12448</v>
      </c>
      <c r="I113" s="12">
        <v>12127</v>
      </c>
      <c r="J113" s="15">
        <v>5.9</v>
      </c>
      <c r="K113" s="15">
        <v>8.1</v>
      </c>
      <c r="L113" s="15">
        <v>9.8000000000000007</v>
      </c>
      <c r="M113" s="15">
        <v>10.4</v>
      </c>
      <c r="N113" s="15">
        <v>15.565231545535932</v>
      </c>
      <c r="O113" s="15">
        <v>15.219337511190689</v>
      </c>
      <c r="P113" s="15">
        <v>21.70993733213966</v>
      </c>
      <c r="Q113" s="15">
        <v>4.5999999999999996</v>
      </c>
      <c r="R113" s="15">
        <v>8.6999999999999993</v>
      </c>
      <c r="S113" s="15">
        <v>30.1</v>
      </c>
      <c r="T113" s="15">
        <v>3.1</v>
      </c>
      <c r="U113" s="12">
        <v>50</v>
      </c>
      <c r="V113" s="12">
        <v>533</v>
      </c>
      <c r="W113" s="15">
        <v>66.8</v>
      </c>
      <c r="X113" s="15">
        <v>53.3</v>
      </c>
      <c r="Y113" s="24">
        <v>254</v>
      </c>
      <c r="Z113" s="19">
        <v>12.4</v>
      </c>
      <c r="AA113" s="19">
        <v>12.2</v>
      </c>
      <c r="AB113" s="19">
        <v>48</v>
      </c>
      <c r="AC113" s="49">
        <v>7</v>
      </c>
      <c r="AD113" s="27">
        <v>7</v>
      </c>
      <c r="AE113" s="27">
        <v>2</v>
      </c>
      <c r="AF113" s="31">
        <v>1.7</v>
      </c>
      <c r="AG113" s="15">
        <v>73.973945123357154</v>
      </c>
      <c r="AH113" s="44">
        <v>50.6</v>
      </c>
      <c r="AI113" s="44">
        <v>23.4</v>
      </c>
      <c r="AJ113" s="44">
        <v>112</v>
      </c>
      <c r="AK113" s="44">
        <v>20.100000000000001</v>
      </c>
      <c r="AL113" s="44">
        <v>19.600000000000001</v>
      </c>
      <c r="AM113" s="44">
        <v>102</v>
      </c>
      <c r="AN113" s="19"/>
      <c r="AO113" s="19"/>
      <c r="AP113" s="84">
        <v>0</v>
      </c>
      <c r="AQ113" s="60">
        <v>6978</v>
      </c>
      <c r="AR113" s="60">
        <v>4522</v>
      </c>
      <c r="AS113" s="60">
        <v>2945</v>
      </c>
      <c r="AT113" s="60">
        <v>4191.9530000000004</v>
      </c>
      <c r="AU113" s="24">
        <v>15578</v>
      </c>
      <c r="AV113" s="60">
        <v>7010.5743278787877</v>
      </c>
      <c r="AW113" s="24">
        <v>6293.2349000000004</v>
      </c>
      <c r="AX113" s="24">
        <v>3709.953</v>
      </c>
      <c r="AY113" s="60">
        <v>914.08900000000006</v>
      </c>
      <c r="AZ113" s="60">
        <v>932.64400000000001</v>
      </c>
    </row>
    <row r="114" spans="1:52">
      <c r="A114" s="3" t="s">
        <v>109</v>
      </c>
      <c r="B114" s="7" t="s">
        <v>263</v>
      </c>
      <c r="C114" s="7" t="s">
        <v>261</v>
      </c>
      <c r="D114" s="15">
        <v>12.395992528442859</v>
      </c>
      <c r="E114" s="15">
        <v>28.68</v>
      </c>
      <c r="F114" s="15">
        <v>99.9</v>
      </c>
      <c r="G114" s="12">
        <v>23646.003309735275</v>
      </c>
      <c r="H114" s="12">
        <v>11466</v>
      </c>
      <c r="I114" s="12">
        <v>12180</v>
      </c>
      <c r="J114" s="15">
        <v>8.4</v>
      </c>
      <c r="K114" s="15">
        <v>10.199999999999999</v>
      </c>
      <c r="L114" s="15">
        <v>9.3000000000000007</v>
      </c>
      <c r="M114" s="15">
        <v>7.7</v>
      </c>
      <c r="N114" s="15">
        <v>9.2996701344836339</v>
      </c>
      <c r="O114" s="15">
        <v>18.163748625560348</v>
      </c>
      <c r="P114" s="15">
        <v>17.588598494459951</v>
      </c>
      <c r="Q114" s="15">
        <v>3.7</v>
      </c>
      <c r="R114" s="15">
        <v>15.7</v>
      </c>
      <c r="S114" s="15">
        <v>32.700000000000003</v>
      </c>
      <c r="T114" s="15">
        <v>7.1</v>
      </c>
      <c r="U114" s="12">
        <v>739</v>
      </c>
      <c r="V114" s="12">
        <v>429</v>
      </c>
      <c r="W114" s="15">
        <v>7.3</v>
      </c>
      <c r="X114" s="15">
        <v>7.3</v>
      </c>
      <c r="Y114" s="24">
        <v>28</v>
      </c>
      <c r="Z114" s="19">
        <v>56.5</v>
      </c>
      <c r="AA114" s="19">
        <v>53.1</v>
      </c>
      <c r="AB114" s="19">
        <v>241</v>
      </c>
      <c r="AC114" s="49">
        <v>9</v>
      </c>
      <c r="AD114" s="27">
        <v>5</v>
      </c>
      <c r="AE114" s="27">
        <v>6</v>
      </c>
      <c r="AF114" s="31">
        <v>0</v>
      </c>
      <c r="AG114" s="15">
        <v>75.795988811521752</v>
      </c>
      <c r="AH114" s="44">
        <v>79.2</v>
      </c>
      <c r="AI114" s="44">
        <v>79.2</v>
      </c>
      <c r="AJ114" s="44">
        <v>348</v>
      </c>
      <c r="AK114" s="44">
        <v>94.1</v>
      </c>
      <c r="AL114" s="44">
        <v>93.8</v>
      </c>
      <c r="AM114" s="44">
        <v>396</v>
      </c>
      <c r="AN114" s="19"/>
      <c r="AO114" s="19"/>
      <c r="AP114" s="84">
        <v>0</v>
      </c>
      <c r="AQ114" s="60">
        <v>30406</v>
      </c>
      <c r="AR114" s="60">
        <v>19434</v>
      </c>
      <c r="AS114" s="60">
        <v>13546</v>
      </c>
      <c r="AT114" s="60">
        <v>46626</v>
      </c>
      <c r="AU114" s="24">
        <v>65171</v>
      </c>
      <c r="AV114" s="60">
        <v>7590.3629556591104</v>
      </c>
      <c r="AW114" s="24">
        <v>35228</v>
      </c>
      <c r="AX114" s="24">
        <v>23742</v>
      </c>
      <c r="AY114" s="60">
        <v>3806</v>
      </c>
      <c r="AZ114" s="60">
        <v>987</v>
      </c>
    </row>
    <row r="115" spans="1:52">
      <c r="A115" s="3" t="s">
        <v>113</v>
      </c>
      <c r="B115" s="7" t="s">
        <v>263</v>
      </c>
      <c r="C115" s="7" t="s">
        <v>260</v>
      </c>
      <c r="D115" s="15">
        <v>14.300648128789462</v>
      </c>
      <c r="E115" s="15">
        <v>17.649999999999999</v>
      </c>
      <c r="F115" s="15">
        <v>99.6</v>
      </c>
      <c r="G115" s="12">
        <v>18190.205390415023</v>
      </c>
      <c r="H115" s="12">
        <v>9240</v>
      </c>
      <c r="I115" s="12">
        <v>8950</v>
      </c>
      <c r="J115" s="15">
        <v>7.3</v>
      </c>
      <c r="K115" s="15">
        <v>7.6</v>
      </c>
      <c r="L115" s="15">
        <v>7.7</v>
      </c>
      <c r="M115" s="15">
        <v>7.9</v>
      </c>
      <c r="N115" s="15">
        <v>15.046728971962617</v>
      </c>
      <c r="O115" s="15">
        <v>21.781198460692689</v>
      </c>
      <c r="P115" s="15">
        <v>19.169873556899393</v>
      </c>
      <c r="Q115" s="15">
        <v>4.7</v>
      </c>
      <c r="R115" s="15">
        <v>8.9</v>
      </c>
      <c r="S115" s="15">
        <v>27.2</v>
      </c>
      <c r="T115" s="15">
        <v>2.9</v>
      </c>
      <c r="U115" s="12">
        <v>-2</v>
      </c>
      <c r="V115" s="12">
        <v>446</v>
      </c>
      <c r="W115" s="15">
        <v>11</v>
      </c>
      <c r="X115" s="15">
        <v>11</v>
      </c>
      <c r="Y115" s="24">
        <v>57</v>
      </c>
      <c r="Z115" s="19">
        <v>7.3</v>
      </c>
      <c r="AA115" s="19">
        <v>7.1</v>
      </c>
      <c r="AB115" s="19">
        <v>37</v>
      </c>
      <c r="AC115" s="49">
        <v>5</v>
      </c>
      <c r="AD115" s="27">
        <v>5</v>
      </c>
      <c r="AE115" s="27">
        <v>4</v>
      </c>
      <c r="AF115" s="31">
        <v>0.2</v>
      </c>
      <c r="AG115" s="15">
        <v>55.075854781492936</v>
      </c>
      <c r="AH115" s="44">
        <v>13.6</v>
      </c>
      <c r="AI115" s="44">
        <v>13.4</v>
      </c>
      <c r="AJ115" s="44">
        <v>59</v>
      </c>
      <c r="AK115" s="44">
        <v>8.1999999999999993</v>
      </c>
      <c r="AL115" s="44">
        <v>7.8</v>
      </c>
      <c r="AM115" s="44">
        <v>37</v>
      </c>
      <c r="AN115" s="19"/>
      <c r="AO115" s="19"/>
      <c r="AP115" s="84">
        <v>36200</v>
      </c>
      <c r="AQ115" s="60">
        <v>44588</v>
      </c>
      <c r="AR115" s="60">
        <v>27705</v>
      </c>
      <c r="AS115" s="60">
        <v>21506</v>
      </c>
      <c r="AT115" s="60">
        <v>30255</v>
      </c>
      <c r="AU115" s="24">
        <v>77846</v>
      </c>
      <c r="AV115" s="60">
        <v>9141.018280509159</v>
      </c>
      <c r="AW115" s="24">
        <v>38068</v>
      </c>
      <c r="AX115" s="24">
        <v>30997</v>
      </c>
      <c r="AY115" s="60">
        <v>5495</v>
      </c>
      <c r="AZ115" s="60">
        <v>102</v>
      </c>
    </row>
    <row r="116" spans="1:52">
      <c r="A116" s="3" t="s">
        <v>114</v>
      </c>
      <c r="B116" s="7" t="s">
        <v>263</v>
      </c>
      <c r="C116" s="7" t="s">
        <v>260</v>
      </c>
      <c r="D116" s="15">
        <v>14.90125673249551</v>
      </c>
      <c r="E116" s="15">
        <v>20.28</v>
      </c>
      <c r="F116" s="15">
        <v>99.8</v>
      </c>
      <c r="G116" s="12">
        <v>10831.00783200624</v>
      </c>
      <c r="H116" s="12">
        <v>5541</v>
      </c>
      <c r="I116" s="12">
        <v>5290</v>
      </c>
      <c r="J116" s="15">
        <v>8.8000000000000007</v>
      </c>
      <c r="K116" s="15">
        <v>9</v>
      </c>
      <c r="L116" s="15">
        <v>8.6999999999999993</v>
      </c>
      <c r="M116" s="15">
        <v>9.6999999999999993</v>
      </c>
      <c r="N116" s="15">
        <v>17.717662265718769</v>
      </c>
      <c r="O116" s="15">
        <v>18.031576031760686</v>
      </c>
      <c r="P116" s="15">
        <v>16.859015788015881</v>
      </c>
      <c r="Q116" s="15">
        <v>3.8</v>
      </c>
      <c r="R116" s="15">
        <v>7.4</v>
      </c>
      <c r="S116" s="15">
        <v>32.1</v>
      </c>
      <c r="T116" s="15">
        <v>2.9</v>
      </c>
      <c r="U116" s="12">
        <v>-53</v>
      </c>
      <c r="V116" s="12">
        <v>160</v>
      </c>
      <c r="W116" s="15">
        <v>9.6999999999999993</v>
      </c>
      <c r="X116" s="15">
        <v>8.8000000000000007</v>
      </c>
      <c r="Y116" s="24">
        <v>26</v>
      </c>
      <c r="Z116" s="19">
        <v>52.6</v>
      </c>
      <c r="AA116" s="19">
        <v>7.1</v>
      </c>
      <c r="AB116" s="19">
        <v>27</v>
      </c>
      <c r="AC116" s="49">
        <v>4</v>
      </c>
      <c r="AD116" s="27">
        <v>4</v>
      </c>
      <c r="AE116" s="27">
        <v>4</v>
      </c>
      <c r="AF116" s="31">
        <v>0.4</v>
      </c>
      <c r="AG116" s="15">
        <v>56.366791243993596</v>
      </c>
      <c r="AH116" s="44">
        <v>10.5</v>
      </c>
      <c r="AI116" s="44">
        <v>7.9</v>
      </c>
      <c r="AJ116" s="44">
        <v>39</v>
      </c>
      <c r="AK116" s="44">
        <v>10.5</v>
      </c>
      <c r="AL116" s="44">
        <v>10.5</v>
      </c>
      <c r="AM116" s="44">
        <v>53</v>
      </c>
      <c r="AN116" s="19"/>
      <c r="AO116" s="19"/>
      <c r="AP116" s="84">
        <v>0</v>
      </c>
      <c r="AQ116" s="60">
        <v>17122</v>
      </c>
      <c r="AR116" s="60">
        <v>9483</v>
      </c>
      <c r="AS116" s="60">
        <v>7801</v>
      </c>
      <c r="AT116" s="60">
        <v>11976.034</v>
      </c>
      <c r="AU116" s="24">
        <v>61210</v>
      </c>
      <c r="AV116" s="60">
        <v>7257.773350297648</v>
      </c>
      <c r="AW116" s="24">
        <v>14080.832</v>
      </c>
      <c r="AX116" s="24">
        <v>12492.034</v>
      </c>
      <c r="AY116" s="60">
        <v>1216.327</v>
      </c>
      <c r="AZ116" s="60">
        <v>7.7859999999999996</v>
      </c>
    </row>
    <row r="117" spans="1:52">
      <c r="A117" s="3" t="s">
        <v>115</v>
      </c>
      <c r="B117" s="7" t="s">
        <v>263</v>
      </c>
      <c r="C117" s="7" t="s">
        <v>260</v>
      </c>
      <c r="D117" s="15">
        <v>14.161073825503356</v>
      </c>
      <c r="E117" s="15">
        <v>16.34</v>
      </c>
      <c r="F117" s="15">
        <v>100</v>
      </c>
      <c r="G117" s="12">
        <v>13078.114224831355</v>
      </c>
      <c r="H117" s="12">
        <v>6706</v>
      </c>
      <c r="I117" s="12">
        <v>6372</v>
      </c>
      <c r="J117" s="15">
        <v>8.8000000000000007</v>
      </c>
      <c r="K117" s="15">
        <v>9.5</v>
      </c>
      <c r="L117" s="15">
        <v>9.4</v>
      </c>
      <c r="M117" s="15">
        <v>10.3</v>
      </c>
      <c r="N117" s="15">
        <v>18.34378345312739</v>
      </c>
      <c r="O117" s="15">
        <v>19.513687108120507</v>
      </c>
      <c r="P117" s="15">
        <v>15.0787582199113</v>
      </c>
      <c r="Q117" s="15">
        <v>3.3</v>
      </c>
      <c r="R117" s="15">
        <v>5.8</v>
      </c>
      <c r="S117" s="15">
        <v>33.700000000000003</v>
      </c>
      <c r="T117" s="15">
        <v>2</v>
      </c>
      <c r="U117" s="12">
        <v>-30</v>
      </c>
      <c r="V117" s="12">
        <v>233</v>
      </c>
      <c r="W117" s="15">
        <v>8.4</v>
      </c>
      <c r="X117" s="15">
        <v>5.6</v>
      </c>
      <c r="Y117" s="24">
        <v>19</v>
      </c>
      <c r="Z117" s="19">
        <v>14</v>
      </c>
      <c r="AA117" s="19">
        <v>6.4</v>
      </c>
      <c r="AB117" s="19">
        <v>28</v>
      </c>
      <c r="AC117" s="49">
        <v>4</v>
      </c>
      <c r="AD117" s="27">
        <v>4</v>
      </c>
      <c r="AE117" s="27">
        <v>4</v>
      </c>
      <c r="AF117" s="31">
        <v>0</v>
      </c>
      <c r="AG117" s="15">
        <v>69.807280513918641</v>
      </c>
      <c r="AH117" s="44">
        <v>4.9000000000000004</v>
      </c>
      <c r="AI117" s="44">
        <v>4.9000000000000004</v>
      </c>
      <c r="AJ117" s="44">
        <v>22</v>
      </c>
      <c r="AK117" s="44">
        <v>4.3</v>
      </c>
      <c r="AL117" s="44">
        <v>4.0999999999999996</v>
      </c>
      <c r="AM117" s="44">
        <v>20</v>
      </c>
      <c r="AN117" s="19"/>
      <c r="AO117" s="19"/>
      <c r="AP117" s="84">
        <v>0</v>
      </c>
      <c r="AQ117" s="60">
        <v>18659</v>
      </c>
      <c r="AR117" s="60">
        <v>9574</v>
      </c>
      <c r="AS117" s="60">
        <v>8075</v>
      </c>
      <c r="AT117" s="60">
        <v>18829.314999999999</v>
      </c>
      <c r="AU117" s="24">
        <v>66050</v>
      </c>
      <c r="AV117" s="60">
        <v>6520.6648706342585</v>
      </c>
      <c r="AW117" s="24">
        <v>13887.4</v>
      </c>
      <c r="AX117" s="24">
        <v>12106</v>
      </c>
      <c r="AY117" s="60">
        <v>1340</v>
      </c>
      <c r="AZ117" s="60">
        <v>0</v>
      </c>
    </row>
    <row r="118" spans="1:52">
      <c r="A118" s="3" t="s">
        <v>116</v>
      </c>
      <c r="B118" s="7" t="s">
        <v>263</v>
      </c>
      <c r="C118" s="7" t="s">
        <v>260</v>
      </c>
      <c r="D118" s="15">
        <v>11.335432487497684</v>
      </c>
      <c r="E118" s="15">
        <v>18.22</v>
      </c>
      <c r="F118" s="15">
        <v>99.9</v>
      </c>
      <c r="G118" s="12">
        <v>10747.488061553009</v>
      </c>
      <c r="H118" s="12">
        <v>5413</v>
      </c>
      <c r="I118" s="12">
        <v>5335</v>
      </c>
      <c r="J118" s="15">
        <v>7.6</v>
      </c>
      <c r="K118" s="15">
        <v>8.5</v>
      </c>
      <c r="L118" s="15">
        <v>8.6999999999999993</v>
      </c>
      <c r="M118" s="15">
        <v>8.9</v>
      </c>
      <c r="N118" s="15">
        <v>18.200428026425978</v>
      </c>
      <c r="O118" s="15">
        <v>20.452219223969482</v>
      </c>
      <c r="P118" s="15">
        <v>16.720945380106077</v>
      </c>
      <c r="Q118" s="15">
        <v>3.9</v>
      </c>
      <c r="R118" s="15">
        <v>7</v>
      </c>
      <c r="S118" s="15">
        <v>30</v>
      </c>
      <c r="T118" s="15">
        <v>2.7</v>
      </c>
      <c r="U118" s="12">
        <v>-7</v>
      </c>
      <c r="V118" s="12">
        <v>321</v>
      </c>
      <c r="W118" s="15">
        <v>22.9</v>
      </c>
      <c r="X118" s="15">
        <v>21.9</v>
      </c>
      <c r="Y118" s="24">
        <v>119</v>
      </c>
      <c r="Z118" s="19">
        <v>7.3</v>
      </c>
      <c r="AA118" s="19">
        <v>5.8</v>
      </c>
      <c r="AB118" s="19">
        <v>26</v>
      </c>
      <c r="AC118" s="49">
        <v>4</v>
      </c>
      <c r="AD118" s="27">
        <v>4</v>
      </c>
      <c r="AE118" s="27">
        <v>3</v>
      </c>
      <c r="AF118" s="31">
        <v>0</v>
      </c>
      <c r="AG118" s="15">
        <v>67.766692248656952</v>
      </c>
      <c r="AH118" s="44">
        <v>16.7</v>
      </c>
      <c r="AI118" s="44">
        <v>16.2</v>
      </c>
      <c r="AJ118" s="44">
        <v>78</v>
      </c>
      <c r="AK118" s="44">
        <v>14.3</v>
      </c>
      <c r="AL118" s="44">
        <v>14</v>
      </c>
      <c r="AM118" s="44">
        <v>70</v>
      </c>
      <c r="AN118" s="19"/>
      <c r="AO118" s="19"/>
      <c r="AP118" s="84">
        <v>0</v>
      </c>
      <c r="AQ118" s="60">
        <v>20544</v>
      </c>
      <c r="AR118" s="60">
        <v>11387</v>
      </c>
      <c r="AS118" s="60">
        <v>8947</v>
      </c>
      <c r="AT118" s="60">
        <v>13421.164000000001</v>
      </c>
      <c r="AU118" s="24">
        <v>55400</v>
      </c>
      <c r="AV118" s="60">
        <v>7184.7486182591792</v>
      </c>
      <c r="AW118" s="24">
        <v>18913.201000000001</v>
      </c>
      <c r="AX118" s="24">
        <v>15443.164000000001</v>
      </c>
      <c r="AY118" s="60">
        <v>2593.6770000000001</v>
      </c>
      <c r="AZ118" s="60">
        <v>0</v>
      </c>
    </row>
    <row r="119" spans="1:52">
      <c r="A119" s="3" t="s">
        <v>117</v>
      </c>
      <c r="B119" s="7" t="s">
        <v>263</v>
      </c>
      <c r="C119" s="7" t="s">
        <v>261</v>
      </c>
      <c r="D119" s="15">
        <v>14.7119341563786</v>
      </c>
      <c r="E119" s="15">
        <v>59.35</v>
      </c>
      <c r="F119" s="15" t="s">
        <v>280</v>
      </c>
      <c r="G119" s="12">
        <v>4065.1106747004169</v>
      </c>
      <c r="H119" s="12">
        <v>2063</v>
      </c>
      <c r="I119" s="12">
        <v>2002</v>
      </c>
      <c r="J119" s="15">
        <v>4.3</v>
      </c>
      <c r="K119" s="15">
        <v>6.8</v>
      </c>
      <c r="L119" s="15">
        <v>10.7</v>
      </c>
      <c r="M119" s="15">
        <v>10.4</v>
      </c>
      <c r="N119" s="15">
        <v>14.587945879458793</v>
      </c>
      <c r="O119" s="15">
        <v>12.201722017220172</v>
      </c>
      <c r="P119" s="15">
        <v>23.714637146371466</v>
      </c>
      <c r="Q119" s="15">
        <v>4.0999999999999996</v>
      </c>
      <c r="R119" s="15">
        <v>13.2</v>
      </c>
      <c r="S119" s="15">
        <v>28.4</v>
      </c>
      <c r="T119" s="15">
        <v>5.0999999999999996</v>
      </c>
      <c r="U119" s="12">
        <v>-81</v>
      </c>
      <c r="V119" s="12">
        <v>65</v>
      </c>
      <c r="W119" s="15">
        <v>1</v>
      </c>
      <c r="X119" s="15">
        <v>0.7</v>
      </c>
      <c r="Y119" s="24" t="s">
        <v>280</v>
      </c>
      <c r="Z119" s="19">
        <v>1.6</v>
      </c>
      <c r="AA119" s="19">
        <v>1.6</v>
      </c>
      <c r="AB119" s="19">
        <v>2</v>
      </c>
      <c r="AC119" s="49">
        <v>9</v>
      </c>
      <c r="AD119" s="27">
        <v>9</v>
      </c>
      <c r="AE119" s="27">
        <v>6</v>
      </c>
      <c r="AF119" s="31">
        <v>0</v>
      </c>
      <c r="AG119" s="15">
        <v>74.315391879131255</v>
      </c>
      <c r="AH119" s="44">
        <v>13.1</v>
      </c>
      <c r="AI119" s="44">
        <v>13.1</v>
      </c>
      <c r="AJ119" s="44">
        <v>46</v>
      </c>
      <c r="AK119" s="44">
        <v>7.5</v>
      </c>
      <c r="AL119" s="44">
        <v>7.5</v>
      </c>
      <c r="AM119" s="44">
        <v>28</v>
      </c>
      <c r="AN119" s="19"/>
      <c r="AO119" s="19"/>
      <c r="AP119" s="84">
        <v>1610</v>
      </c>
      <c r="AQ119" s="60">
        <v>23135</v>
      </c>
      <c r="AR119" s="60">
        <v>14562</v>
      </c>
      <c r="AS119" s="60">
        <v>14128</v>
      </c>
      <c r="AT119" s="60">
        <v>14977.21</v>
      </c>
      <c r="AU119" s="24">
        <v>6884</v>
      </c>
      <c r="AV119" s="60">
        <v>7606.1889759689466</v>
      </c>
      <c r="AW119" s="24">
        <v>14883.349759999999</v>
      </c>
      <c r="AX119" s="24">
        <v>14389.21</v>
      </c>
      <c r="AY119" s="60">
        <v>136.15899999999999</v>
      </c>
      <c r="AZ119" s="60">
        <v>25.914000000000001</v>
      </c>
    </row>
    <row r="120" spans="1:52">
      <c r="A120" s="3" t="s">
        <v>118</v>
      </c>
      <c r="B120" s="7" t="s">
        <v>263</v>
      </c>
      <c r="C120" s="7" t="s">
        <v>261</v>
      </c>
      <c r="D120" s="15">
        <v>12.15049727903922</v>
      </c>
      <c r="E120" s="15">
        <v>53.32</v>
      </c>
      <c r="F120" s="15" t="s">
        <v>280</v>
      </c>
      <c r="G120" s="12">
        <v>24144.958875663629</v>
      </c>
      <c r="H120" s="12">
        <v>11808</v>
      </c>
      <c r="I120" s="12">
        <v>12337</v>
      </c>
      <c r="J120" s="15">
        <v>6.4</v>
      </c>
      <c r="K120" s="15">
        <v>8.1999999999999993</v>
      </c>
      <c r="L120" s="15">
        <v>9.6</v>
      </c>
      <c r="M120" s="15">
        <v>9.1999999999999993</v>
      </c>
      <c r="N120" s="15">
        <v>12.938496583143507</v>
      </c>
      <c r="O120" s="15">
        <v>14.653137295506315</v>
      </c>
      <c r="P120" s="15">
        <v>20.020708221163801</v>
      </c>
      <c r="Q120" s="15">
        <v>5.5</v>
      </c>
      <c r="R120" s="15">
        <v>13.4</v>
      </c>
      <c r="S120" s="15">
        <v>29.9</v>
      </c>
      <c r="T120" s="15">
        <v>5.2</v>
      </c>
      <c r="U120" s="12">
        <v>160</v>
      </c>
      <c r="V120" s="12">
        <v>437</v>
      </c>
      <c r="W120" s="15">
        <v>32.1</v>
      </c>
      <c r="X120" s="15">
        <v>31</v>
      </c>
      <c r="Y120" s="24">
        <v>159</v>
      </c>
      <c r="Z120" s="19">
        <v>34.299999999999997</v>
      </c>
      <c r="AA120" s="19">
        <v>28.7</v>
      </c>
      <c r="AB120" s="19">
        <v>157</v>
      </c>
      <c r="AC120" s="49">
        <v>8</v>
      </c>
      <c r="AD120" s="27">
        <v>8</v>
      </c>
      <c r="AE120" s="27">
        <v>5</v>
      </c>
      <c r="AF120" s="31">
        <v>0.3</v>
      </c>
      <c r="AG120" s="15">
        <v>71.216948963049916</v>
      </c>
      <c r="AH120" s="44">
        <v>38.799999999999997</v>
      </c>
      <c r="AI120" s="44">
        <v>36.5</v>
      </c>
      <c r="AJ120" s="44">
        <v>218</v>
      </c>
      <c r="AK120" s="44">
        <v>19.399999999999999</v>
      </c>
      <c r="AL120" s="44">
        <v>15.5</v>
      </c>
      <c r="AM120" s="44">
        <v>67</v>
      </c>
      <c r="AN120" s="19"/>
      <c r="AO120" s="19"/>
      <c r="AP120" s="84">
        <v>0</v>
      </c>
      <c r="AQ120" s="60">
        <v>122741</v>
      </c>
      <c r="AR120" s="60">
        <v>89234</v>
      </c>
      <c r="AS120" s="60">
        <v>60901</v>
      </c>
      <c r="AT120" s="60">
        <v>67833</v>
      </c>
      <c r="AU120" s="24">
        <v>81798</v>
      </c>
      <c r="AV120" s="60">
        <v>8176.5722201742119</v>
      </c>
      <c r="AW120" s="24">
        <v>100226</v>
      </c>
      <c r="AX120" s="24">
        <v>69855</v>
      </c>
      <c r="AY120" s="60">
        <v>11311.4</v>
      </c>
      <c r="AZ120" s="60">
        <v>0</v>
      </c>
    </row>
    <row r="121" spans="1:52">
      <c r="A121" s="3" t="s">
        <v>119</v>
      </c>
      <c r="B121" s="7" t="s">
        <v>263</v>
      </c>
      <c r="C121" s="7" t="s">
        <v>260</v>
      </c>
      <c r="D121" s="15">
        <v>13.864921154418328</v>
      </c>
      <c r="E121" s="15">
        <v>16.190000000000001</v>
      </c>
      <c r="F121" s="15">
        <v>99.9</v>
      </c>
      <c r="G121" s="12">
        <v>7457.0045482078513</v>
      </c>
      <c r="H121" s="12">
        <v>3777</v>
      </c>
      <c r="I121" s="12">
        <v>3680</v>
      </c>
      <c r="J121" s="15">
        <v>9.9</v>
      </c>
      <c r="K121" s="15">
        <v>10.3</v>
      </c>
      <c r="L121" s="15">
        <v>9.3000000000000007</v>
      </c>
      <c r="M121" s="15">
        <v>8.6999999999999993</v>
      </c>
      <c r="N121" s="15">
        <v>17.151669572214026</v>
      </c>
      <c r="O121" s="15">
        <v>19.190022797371597</v>
      </c>
      <c r="P121" s="15">
        <v>14.737830226632695</v>
      </c>
      <c r="Q121" s="15">
        <v>3.9</v>
      </c>
      <c r="R121" s="15">
        <v>6.8</v>
      </c>
      <c r="S121" s="15">
        <v>34.5</v>
      </c>
      <c r="T121" s="15">
        <v>2.4</v>
      </c>
      <c r="U121" s="12">
        <v>-13</v>
      </c>
      <c r="V121" s="12">
        <v>114</v>
      </c>
      <c r="W121" s="15">
        <v>7.1</v>
      </c>
      <c r="X121" s="15">
        <v>7.1</v>
      </c>
      <c r="Y121" s="24">
        <v>30</v>
      </c>
      <c r="Z121" s="19">
        <v>5.5</v>
      </c>
      <c r="AA121" s="19">
        <v>5.5</v>
      </c>
      <c r="AB121" s="19">
        <v>20</v>
      </c>
      <c r="AC121" s="49">
        <v>4</v>
      </c>
      <c r="AD121" s="27">
        <v>4</v>
      </c>
      <c r="AE121" s="27">
        <v>6</v>
      </c>
      <c r="AF121" s="31">
        <v>1</v>
      </c>
      <c r="AG121" s="15">
        <v>56.470821754664549</v>
      </c>
      <c r="AH121" s="44">
        <v>11.2</v>
      </c>
      <c r="AI121" s="44">
        <v>9.9</v>
      </c>
      <c r="AJ121" s="44">
        <v>49</v>
      </c>
      <c r="AK121" s="44">
        <v>8.1</v>
      </c>
      <c r="AL121" s="44">
        <v>8.1</v>
      </c>
      <c r="AM121" s="44">
        <v>37</v>
      </c>
      <c r="AN121" s="19"/>
      <c r="AO121" s="19"/>
      <c r="AP121" s="84">
        <v>0</v>
      </c>
      <c r="AQ121" s="60">
        <v>15232</v>
      </c>
      <c r="AR121" s="60">
        <v>10047</v>
      </c>
      <c r="AS121" s="60">
        <v>7659</v>
      </c>
      <c r="AT121" s="60">
        <v>20808.811000000002</v>
      </c>
      <c r="AU121" s="24">
        <v>29915</v>
      </c>
      <c r="AV121" s="60">
        <v>6358.7194688510381</v>
      </c>
      <c r="AW121" s="24">
        <v>13055.904</v>
      </c>
      <c r="AX121" s="24">
        <v>9841.8109999999997</v>
      </c>
      <c r="AY121" s="60">
        <v>829.11900000000003</v>
      </c>
      <c r="AZ121" s="60">
        <v>1229.44</v>
      </c>
    </row>
    <row r="122" spans="1:52">
      <c r="A122" s="3" t="s">
        <v>120</v>
      </c>
      <c r="B122" s="7" t="s">
        <v>263</v>
      </c>
      <c r="C122" s="7" t="s">
        <v>260</v>
      </c>
      <c r="D122" s="15">
        <v>9.5058941560070238</v>
      </c>
      <c r="E122" s="15">
        <v>11.88</v>
      </c>
      <c r="F122" s="15">
        <v>99.7</v>
      </c>
      <c r="G122" s="12">
        <v>8564.6083292647563</v>
      </c>
      <c r="H122" s="12">
        <v>4335</v>
      </c>
      <c r="I122" s="12">
        <v>4229</v>
      </c>
      <c r="J122" s="15">
        <v>10.199999999999999</v>
      </c>
      <c r="K122" s="15">
        <v>10.7</v>
      </c>
      <c r="L122" s="15">
        <v>10.3</v>
      </c>
      <c r="M122" s="15">
        <v>9.6</v>
      </c>
      <c r="N122" s="15">
        <v>18.10858143607706</v>
      </c>
      <c r="O122" s="15">
        <v>19.579684763572679</v>
      </c>
      <c r="P122" s="15">
        <v>14.127262113251604</v>
      </c>
      <c r="Q122" s="15">
        <v>2.6</v>
      </c>
      <c r="R122" s="15">
        <v>4.9000000000000004</v>
      </c>
      <c r="S122" s="15">
        <v>36.700000000000003</v>
      </c>
      <c r="T122" s="15">
        <v>1.6</v>
      </c>
      <c r="U122" s="12">
        <v>-13</v>
      </c>
      <c r="V122" s="12">
        <v>158</v>
      </c>
      <c r="W122" s="15">
        <v>7</v>
      </c>
      <c r="X122" s="15">
        <v>5.6</v>
      </c>
      <c r="Y122" s="24">
        <v>20</v>
      </c>
      <c r="Z122" s="19">
        <v>4.7</v>
      </c>
      <c r="AA122" s="19">
        <v>4.5999999999999996</v>
      </c>
      <c r="AB122" s="19">
        <v>17</v>
      </c>
      <c r="AC122" s="49">
        <v>3</v>
      </c>
      <c r="AD122" s="27">
        <v>2</v>
      </c>
      <c r="AE122" s="27">
        <v>4</v>
      </c>
      <c r="AF122" s="31">
        <v>1.1000000000000001</v>
      </c>
      <c r="AG122" s="15">
        <v>44.392361111111114</v>
      </c>
      <c r="AH122" s="44">
        <v>8.6</v>
      </c>
      <c r="AI122" s="44">
        <v>8.4</v>
      </c>
      <c r="AJ122" s="44">
        <v>59</v>
      </c>
      <c r="AK122" s="44">
        <v>12.2</v>
      </c>
      <c r="AL122" s="44">
        <v>12.2</v>
      </c>
      <c r="AM122" s="44">
        <v>77</v>
      </c>
      <c r="AN122" s="19"/>
      <c r="AO122" s="19"/>
      <c r="AP122" s="84">
        <v>0</v>
      </c>
      <c r="AQ122" s="60">
        <v>12433</v>
      </c>
      <c r="AR122" s="60">
        <v>6838</v>
      </c>
      <c r="AS122" s="60">
        <v>5170</v>
      </c>
      <c r="AT122" s="60">
        <v>10132.242099999999</v>
      </c>
      <c r="AU122" s="24">
        <v>38138</v>
      </c>
      <c r="AV122" s="60">
        <v>5897.5259647788371</v>
      </c>
      <c r="AW122" s="24">
        <v>10342.635399999999</v>
      </c>
      <c r="AX122" s="24">
        <v>8965.2420999999995</v>
      </c>
      <c r="AY122" s="60">
        <v>806.11090000000002</v>
      </c>
      <c r="AZ122" s="60">
        <v>27.213000000000001</v>
      </c>
    </row>
    <row r="123" spans="1:52">
      <c r="A123" s="3" t="s">
        <v>121</v>
      </c>
      <c r="B123" s="7" t="s">
        <v>263</v>
      </c>
      <c r="C123" s="7" t="s">
        <v>260</v>
      </c>
      <c r="D123" s="15">
        <v>13.796196627197704</v>
      </c>
      <c r="E123" s="15">
        <v>11.96</v>
      </c>
      <c r="F123" s="15">
        <v>99.9</v>
      </c>
      <c r="G123" s="12">
        <v>24821.860551527545</v>
      </c>
      <c r="H123" s="12">
        <v>12534</v>
      </c>
      <c r="I123" s="12">
        <v>12288</v>
      </c>
      <c r="J123" s="15">
        <v>18.3</v>
      </c>
      <c r="K123" s="15">
        <v>15.3</v>
      </c>
      <c r="L123" s="15">
        <v>13.4</v>
      </c>
      <c r="M123" s="15">
        <v>11.9</v>
      </c>
      <c r="N123" s="15">
        <v>17.125936669083877</v>
      </c>
      <c r="O123" s="15">
        <v>13.653210861332688</v>
      </c>
      <c r="P123" s="15">
        <v>7.2717750382725006</v>
      </c>
      <c r="Q123" s="15">
        <v>1.1000000000000001</v>
      </c>
      <c r="R123" s="15">
        <v>2</v>
      </c>
      <c r="S123" s="15">
        <v>54</v>
      </c>
      <c r="T123" s="15">
        <v>0.7</v>
      </c>
      <c r="U123" s="12">
        <v>87</v>
      </c>
      <c r="V123" s="12">
        <v>198</v>
      </c>
      <c r="W123" s="15">
        <v>40</v>
      </c>
      <c r="X123" s="15">
        <v>31.7</v>
      </c>
      <c r="Y123" s="24">
        <v>133</v>
      </c>
      <c r="Z123" s="19">
        <v>28.1</v>
      </c>
      <c r="AA123" s="19">
        <v>27.9</v>
      </c>
      <c r="AB123" s="19">
        <v>113</v>
      </c>
      <c r="AC123" s="49">
        <v>1</v>
      </c>
      <c r="AD123" s="27">
        <v>1</v>
      </c>
      <c r="AE123" s="27">
        <v>3</v>
      </c>
      <c r="AF123" s="31">
        <v>0</v>
      </c>
      <c r="AG123" s="15">
        <v>49.037021185533916</v>
      </c>
      <c r="AH123" s="44">
        <v>9.1999999999999993</v>
      </c>
      <c r="AI123" s="44">
        <v>8.6999999999999993</v>
      </c>
      <c r="AJ123" s="44">
        <v>36</v>
      </c>
      <c r="AK123" s="44">
        <v>22.8</v>
      </c>
      <c r="AL123" s="44">
        <v>6.8</v>
      </c>
      <c r="AM123" s="44">
        <v>30</v>
      </c>
      <c r="AN123" s="19"/>
      <c r="AO123" s="19"/>
      <c r="AP123" s="84">
        <v>0</v>
      </c>
      <c r="AQ123" s="60">
        <v>22328</v>
      </c>
      <c r="AR123" s="60">
        <v>6106</v>
      </c>
      <c r="AS123" s="60">
        <v>5019</v>
      </c>
      <c r="AT123" s="60">
        <v>8938.0630000000001</v>
      </c>
      <c r="AU123" s="24">
        <v>156081</v>
      </c>
      <c r="AV123" s="60">
        <v>6961.4443140268977</v>
      </c>
      <c r="AW123" s="24">
        <v>13000.786</v>
      </c>
      <c r="AX123" s="24">
        <v>11159.063</v>
      </c>
      <c r="AY123" s="60">
        <v>926.62300000000005</v>
      </c>
      <c r="AZ123" s="60">
        <v>88.132000000000005</v>
      </c>
    </row>
    <row r="124" spans="1:52">
      <c r="A124" s="3" t="s">
        <v>122</v>
      </c>
      <c r="B124" s="7" t="s">
        <v>263</v>
      </c>
      <c r="C124" s="7" t="s">
        <v>260</v>
      </c>
      <c r="D124" s="15">
        <v>23.965721040189123</v>
      </c>
      <c r="E124" s="15">
        <v>26.92</v>
      </c>
      <c r="F124" s="15">
        <v>100</v>
      </c>
      <c r="G124" s="12">
        <v>6639.1186041266237</v>
      </c>
      <c r="H124" s="12">
        <v>3350</v>
      </c>
      <c r="I124" s="12">
        <v>3289</v>
      </c>
      <c r="J124" s="15">
        <v>8.3000000000000007</v>
      </c>
      <c r="K124" s="15">
        <v>8.5</v>
      </c>
      <c r="L124" s="15">
        <v>8.4</v>
      </c>
      <c r="M124" s="15">
        <v>8.6</v>
      </c>
      <c r="N124" s="15">
        <v>17.156198222623889</v>
      </c>
      <c r="O124" s="15">
        <v>21.705076065672539</v>
      </c>
      <c r="P124" s="15">
        <v>16.734447959029975</v>
      </c>
      <c r="Q124" s="15">
        <v>3.6</v>
      </c>
      <c r="R124" s="15">
        <v>7</v>
      </c>
      <c r="S124" s="15">
        <v>30.2</v>
      </c>
      <c r="T124" s="15">
        <v>2.5</v>
      </c>
      <c r="U124" s="12">
        <v>-1</v>
      </c>
      <c r="V124" s="12">
        <v>104</v>
      </c>
      <c r="W124" s="15">
        <v>20.8</v>
      </c>
      <c r="X124" s="15">
        <v>17.7</v>
      </c>
      <c r="Y124" s="24">
        <v>72</v>
      </c>
      <c r="Z124" s="19">
        <v>7.7</v>
      </c>
      <c r="AA124" s="19">
        <v>7.1</v>
      </c>
      <c r="AB124" s="19">
        <v>32</v>
      </c>
      <c r="AC124" s="49">
        <v>5</v>
      </c>
      <c r="AD124" s="27">
        <v>5</v>
      </c>
      <c r="AE124" s="27">
        <v>2</v>
      </c>
      <c r="AF124" s="31">
        <v>0.2</v>
      </c>
      <c r="AG124" s="15">
        <v>53.473945409429277</v>
      </c>
      <c r="AH124" s="44">
        <v>5.8</v>
      </c>
      <c r="AI124" s="44">
        <v>4.5999999999999996</v>
      </c>
      <c r="AJ124" s="44">
        <v>23</v>
      </c>
      <c r="AK124" s="44">
        <v>11.4</v>
      </c>
      <c r="AL124" s="44">
        <v>8.3000000000000007</v>
      </c>
      <c r="AM124" s="44">
        <v>38</v>
      </c>
      <c r="AN124" s="19"/>
      <c r="AO124" s="19"/>
      <c r="AP124" s="84">
        <v>0</v>
      </c>
      <c r="AQ124" s="60">
        <v>15950</v>
      </c>
      <c r="AR124" s="60">
        <v>8007</v>
      </c>
      <c r="AS124" s="60">
        <v>6509</v>
      </c>
      <c r="AT124" s="60">
        <v>15031</v>
      </c>
      <c r="AU124" s="24">
        <v>46407</v>
      </c>
      <c r="AV124" s="60">
        <v>9391.4574686532924</v>
      </c>
      <c r="AW124" s="24">
        <v>11387</v>
      </c>
      <c r="AX124" s="24">
        <v>9402</v>
      </c>
      <c r="AY124" s="60">
        <v>1203</v>
      </c>
      <c r="AZ124" s="60">
        <v>163</v>
      </c>
    </row>
    <row r="125" spans="1:52">
      <c r="A125" s="8" t="s">
        <v>123</v>
      </c>
      <c r="B125" s="10" t="s">
        <v>263</v>
      </c>
      <c r="C125" s="10" t="s">
        <v>261</v>
      </c>
      <c r="D125" s="15">
        <v>11.695531323497969</v>
      </c>
      <c r="E125" s="15">
        <v>17.079999999999998</v>
      </c>
      <c r="F125" s="15" t="s">
        <v>280</v>
      </c>
      <c r="G125" s="12">
        <v>10046.790259794512</v>
      </c>
      <c r="H125" s="12">
        <v>5130</v>
      </c>
      <c r="I125" s="12">
        <v>4917</v>
      </c>
      <c r="J125" s="15">
        <v>11.3</v>
      </c>
      <c r="K125" s="15">
        <v>9.8000000000000007</v>
      </c>
      <c r="L125" s="15">
        <v>8.3000000000000007</v>
      </c>
      <c r="M125" s="15">
        <v>8.1999999999999993</v>
      </c>
      <c r="N125" s="15">
        <v>15.148800637006071</v>
      </c>
      <c r="O125" s="15">
        <v>17.199163929531203</v>
      </c>
      <c r="P125" s="15">
        <v>13.466706479546135</v>
      </c>
      <c r="Q125" s="15">
        <v>5</v>
      </c>
      <c r="R125" s="15">
        <v>11.6</v>
      </c>
      <c r="S125" s="15">
        <v>34</v>
      </c>
      <c r="T125" s="15">
        <v>4.0999999999999996</v>
      </c>
      <c r="U125" s="12">
        <v>102</v>
      </c>
      <c r="V125" s="12">
        <v>313</v>
      </c>
      <c r="W125" s="15">
        <v>8.6</v>
      </c>
      <c r="X125" s="15">
        <v>2.7</v>
      </c>
      <c r="Y125" s="24">
        <v>15</v>
      </c>
      <c r="Z125" s="19">
        <v>12.3</v>
      </c>
      <c r="AA125" s="19">
        <v>12.1</v>
      </c>
      <c r="AB125" s="19">
        <v>88</v>
      </c>
      <c r="AC125" s="49">
        <v>4</v>
      </c>
      <c r="AD125" s="27">
        <v>4</v>
      </c>
      <c r="AE125" s="27">
        <v>2</v>
      </c>
      <c r="AF125" s="31">
        <v>5.4</v>
      </c>
      <c r="AG125" s="15">
        <v>70.632268413313724</v>
      </c>
      <c r="AH125" s="44">
        <v>12</v>
      </c>
      <c r="AI125" s="44">
        <v>11.9</v>
      </c>
      <c r="AJ125" s="44">
        <v>78</v>
      </c>
      <c r="AK125" s="44">
        <v>11.3</v>
      </c>
      <c r="AL125" s="44">
        <v>8.6999999999999993</v>
      </c>
      <c r="AM125" s="44">
        <v>64</v>
      </c>
      <c r="AN125" s="19"/>
      <c r="AO125" s="19"/>
      <c r="AP125" s="84">
        <v>0</v>
      </c>
      <c r="AQ125" s="60">
        <v>44197</v>
      </c>
      <c r="AR125" s="60">
        <v>24735</v>
      </c>
      <c r="AS125" s="60">
        <v>12757</v>
      </c>
      <c r="AT125" s="60">
        <v>13226.7</v>
      </c>
      <c r="AU125" s="24">
        <v>49916</v>
      </c>
      <c r="AV125" s="60">
        <v>9356.0229256664661</v>
      </c>
      <c r="AW125" s="24">
        <v>30416.267</v>
      </c>
      <c r="AX125" s="24">
        <v>17548.7</v>
      </c>
      <c r="AY125" s="60">
        <v>6026.1769999999997</v>
      </c>
      <c r="AZ125" s="60">
        <v>2574.2800000000002</v>
      </c>
    </row>
    <row r="126" spans="1:52">
      <c r="A126" s="8" t="s">
        <v>124</v>
      </c>
      <c r="B126" s="10" t="s">
        <v>263</v>
      </c>
      <c r="C126" s="10" t="s">
        <v>260</v>
      </c>
      <c r="D126" s="15">
        <v>8.1178592904389646</v>
      </c>
      <c r="E126" s="15">
        <v>8.58</v>
      </c>
      <c r="F126" s="15">
        <v>99.9</v>
      </c>
      <c r="G126" s="12">
        <v>7094.8307393250034</v>
      </c>
      <c r="H126" s="12">
        <v>3541</v>
      </c>
      <c r="I126" s="12">
        <v>3554</v>
      </c>
      <c r="J126" s="15">
        <v>10.3</v>
      </c>
      <c r="K126" s="15">
        <v>10.199999999999999</v>
      </c>
      <c r="L126" s="15">
        <v>8.5</v>
      </c>
      <c r="M126" s="15">
        <v>9.3000000000000007</v>
      </c>
      <c r="N126" s="15">
        <v>17.899929527836505</v>
      </c>
      <c r="O126" s="15">
        <v>20.591966173361524</v>
      </c>
      <c r="P126" s="15">
        <v>15.17970401691332</v>
      </c>
      <c r="Q126" s="15">
        <v>3.2</v>
      </c>
      <c r="R126" s="15">
        <v>4.9000000000000004</v>
      </c>
      <c r="S126" s="15">
        <v>34.5</v>
      </c>
      <c r="T126" s="15">
        <v>1.6</v>
      </c>
      <c r="U126" s="12">
        <v>-12</v>
      </c>
      <c r="V126" s="12">
        <v>184</v>
      </c>
      <c r="W126" s="15">
        <v>4</v>
      </c>
      <c r="X126" s="15">
        <v>4</v>
      </c>
      <c r="Y126" s="24">
        <v>17</v>
      </c>
      <c r="Z126" s="19">
        <v>3.1</v>
      </c>
      <c r="AA126" s="19">
        <v>2.6</v>
      </c>
      <c r="AB126" s="19">
        <v>13</v>
      </c>
      <c r="AC126" s="49">
        <v>3</v>
      </c>
      <c r="AD126" s="27">
        <v>3</v>
      </c>
      <c r="AE126" s="27">
        <v>2</v>
      </c>
      <c r="AF126" s="31">
        <v>0</v>
      </c>
      <c r="AG126" s="15">
        <v>43.939077821823489</v>
      </c>
      <c r="AH126" s="44">
        <v>8.9</v>
      </c>
      <c r="AI126" s="44">
        <v>8.9</v>
      </c>
      <c r="AJ126" s="44">
        <v>47</v>
      </c>
      <c r="AK126" s="44">
        <v>4.5</v>
      </c>
      <c r="AL126" s="44">
        <v>4.5</v>
      </c>
      <c r="AM126" s="44">
        <v>20</v>
      </c>
      <c r="AN126" s="19"/>
      <c r="AO126" s="19"/>
      <c r="AP126" s="84">
        <v>0</v>
      </c>
      <c r="AQ126" s="60">
        <v>11327</v>
      </c>
      <c r="AR126" s="60">
        <v>4425</v>
      </c>
      <c r="AS126" s="60">
        <v>4164</v>
      </c>
      <c r="AT126" s="60">
        <v>14948</v>
      </c>
      <c r="AU126" s="24">
        <v>36036</v>
      </c>
      <c r="AV126" s="60">
        <v>7528.4389384998458</v>
      </c>
      <c r="AW126" s="24">
        <v>9061</v>
      </c>
      <c r="AX126" s="24">
        <v>8686</v>
      </c>
      <c r="AY126" s="60">
        <v>326</v>
      </c>
      <c r="AZ126" s="60">
        <v>45</v>
      </c>
    </row>
    <row r="127" spans="1:52">
      <c r="A127" s="3" t="s">
        <v>125</v>
      </c>
      <c r="B127" s="7" t="s">
        <v>263</v>
      </c>
      <c r="C127" s="7" t="s">
        <v>260</v>
      </c>
      <c r="D127" s="15">
        <v>12.426210153482881</v>
      </c>
      <c r="E127" s="15">
        <v>17.64</v>
      </c>
      <c r="F127" s="15">
        <v>100</v>
      </c>
      <c r="G127" s="12">
        <v>14808.977952555804</v>
      </c>
      <c r="H127" s="12">
        <v>7604</v>
      </c>
      <c r="I127" s="12">
        <v>7205</v>
      </c>
      <c r="J127" s="15">
        <v>8.9</v>
      </c>
      <c r="K127" s="15">
        <v>9.5</v>
      </c>
      <c r="L127" s="15">
        <v>9.8000000000000007</v>
      </c>
      <c r="M127" s="15">
        <v>9.8000000000000007</v>
      </c>
      <c r="N127" s="15">
        <v>18.238908771692888</v>
      </c>
      <c r="O127" s="15">
        <v>18.799378756161794</v>
      </c>
      <c r="P127" s="15">
        <v>15.389290296441352</v>
      </c>
      <c r="Q127" s="15">
        <v>3.4</v>
      </c>
      <c r="R127" s="15">
        <v>6.3</v>
      </c>
      <c r="S127" s="15">
        <v>34</v>
      </c>
      <c r="T127" s="15">
        <v>2.2000000000000002</v>
      </c>
      <c r="U127" s="12">
        <v>-16</v>
      </c>
      <c r="V127" s="12">
        <v>180</v>
      </c>
      <c r="W127" s="15">
        <v>20.100000000000001</v>
      </c>
      <c r="X127" s="15">
        <v>20</v>
      </c>
      <c r="Y127" s="24">
        <v>93</v>
      </c>
      <c r="Z127" s="19">
        <v>5.8</v>
      </c>
      <c r="AA127" s="19">
        <v>5.8</v>
      </c>
      <c r="AB127" s="19">
        <v>26</v>
      </c>
      <c r="AC127" s="49">
        <v>3</v>
      </c>
      <c r="AD127" s="27">
        <v>3</v>
      </c>
      <c r="AE127" s="27">
        <v>3</v>
      </c>
      <c r="AF127" s="31">
        <v>0.2</v>
      </c>
      <c r="AG127" s="15">
        <v>49.4807635248739</v>
      </c>
      <c r="AH127" s="44">
        <v>16.5</v>
      </c>
      <c r="AI127" s="44">
        <v>14.9</v>
      </c>
      <c r="AJ127" s="44">
        <v>76</v>
      </c>
      <c r="AK127" s="44">
        <v>23.5</v>
      </c>
      <c r="AL127" s="44">
        <v>21</v>
      </c>
      <c r="AM127" s="44">
        <v>99</v>
      </c>
      <c r="AN127" s="19"/>
      <c r="AO127" s="19"/>
      <c r="AP127" s="84">
        <v>0</v>
      </c>
      <c r="AQ127" s="60">
        <v>33027</v>
      </c>
      <c r="AR127" s="60">
        <v>17730</v>
      </c>
      <c r="AS127" s="60">
        <v>9281</v>
      </c>
      <c r="AT127" s="60">
        <v>19049.578600000001</v>
      </c>
      <c r="AU127" s="24">
        <v>57985</v>
      </c>
      <c r="AV127" s="60">
        <v>5995.1470171969277</v>
      </c>
      <c r="AW127" s="24">
        <v>23687.576000000001</v>
      </c>
      <c r="AX127" s="24">
        <v>17003.099999999999</v>
      </c>
      <c r="AY127" s="60">
        <v>1576.7159999999999</v>
      </c>
      <c r="AZ127" s="60">
        <v>413.84</v>
      </c>
    </row>
    <row r="128" spans="1:52">
      <c r="A128" s="3" t="s">
        <v>126</v>
      </c>
      <c r="B128" s="7" t="s">
        <v>263</v>
      </c>
      <c r="C128" s="7" t="s">
        <v>260</v>
      </c>
      <c r="D128" s="15">
        <v>17.298235464275383</v>
      </c>
      <c r="E128" s="15">
        <v>18.399999999999999</v>
      </c>
      <c r="F128" s="15">
        <v>100</v>
      </c>
      <c r="G128" s="12">
        <v>6930.0964508216439</v>
      </c>
      <c r="H128" s="12">
        <v>3487</v>
      </c>
      <c r="I128" s="12">
        <v>3443</v>
      </c>
      <c r="J128" s="15">
        <v>8.4</v>
      </c>
      <c r="K128" s="15">
        <v>8.4</v>
      </c>
      <c r="L128" s="15">
        <v>8.6</v>
      </c>
      <c r="M128" s="15">
        <v>9.4</v>
      </c>
      <c r="N128" s="15">
        <v>17.720057720057721</v>
      </c>
      <c r="O128" s="15">
        <v>22.020202020202021</v>
      </c>
      <c r="P128" s="15">
        <v>16.075036075036074</v>
      </c>
      <c r="Q128" s="15">
        <v>3.5</v>
      </c>
      <c r="R128" s="15">
        <v>6</v>
      </c>
      <c r="S128" s="15">
        <v>31.2</v>
      </c>
      <c r="T128" s="15">
        <v>2.1</v>
      </c>
      <c r="U128" s="12">
        <v>-2</v>
      </c>
      <c r="V128" s="12">
        <v>117</v>
      </c>
      <c r="W128" s="15">
        <v>10.8</v>
      </c>
      <c r="X128" s="15">
        <v>10.8</v>
      </c>
      <c r="Y128" s="24">
        <v>38</v>
      </c>
      <c r="Z128" s="19">
        <v>5</v>
      </c>
      <c r="AA128" s="19">
        <v>4.3</v>
      </c>
      <c r="AB128" s="19">
        <v>16</v>
      </c>
      <c r="AC128" s="49">
        <v>4</v>
      </c>
      <c r="AD128" s="27">
        <v>5</v>
      </c>
      <c r="AE128" s="27">
        <v>3</v>
      </c>
      <c r="AF128" s="31">
        <v>0</v>
      </c>
      <c r="AG128" s="15">
        <v>39.541606442287836</v>
      </c>
      <c r="AH128" s="44">
        <v>8.1</v>
      </c>
      <c r="AI128" s="44">
        <v>7.6</v>
      </c>
      <c r="AJ128" s="44">
        <v>33</v>
      </c>
      <c r="AK128" s="44">
        <v>8.5</v>
      </c>
      <c r="AL128" s="44">
        <v>8.5</v>
      </c>
      <c r="AM128" s="44">
        <v>38</v>
      </c>
      <c r="AN128" s="19"/>
      <c r="AO128" s="19"/>
      <c r="AP128" s="84">
        <v>0</v>
      </c>
      <c r="AQ128" s="60">
        <v>12813</v>
      </c>
      <c r="AR128" s="60">
        <v>7299</v>
      </c>
      <c r="AS128" s="60">
        <v>6602</v>
      </c>
      <c r="AT128" s="60">
        <v>12621</v>
      </c>
      <c r="AU128" s="24">
        <v>35021</v>
      </c>
      <c r="AV128" s="60">
        <v>7058.1990232185981</v>
      </c>
      <c r="AW128" s="24">
        <v>10237</v>
      </c>
      <c r="AX128" s="24">
        <v>9020</v>
      </c>
      <c r="AY128" s="60">
        <v>920</v>
      </c>
      <c r="AZ128" s="60">
        <v>0</v>
      </c>
    </row>
    <row r="129" spans="1:52">
      <c r="A129" s="3" t="s">
        <v>127</v>
      </c>
      <c r="B129" s="7" t="s">
        <v>263</v>
      </c>
      <c r="C129" s="7" t="s">
        <v>261</v>
      </c>
      <c r="D129" s="15">
        <v>12.974296205630356</v>
      </c>
      <c r="E129" s="15">
        <v>18.61</v>
      </c>
      <c r="F129" s="15" t="s">
        <v>280</v>
      </c>
      <c r="G129" s="12">
        <v>4542.106396364632</v>
      </c>
      <c r="H129" s="12">
        <v>2285</v>
      </c>
      <c r="I129" s="12">
        <v>2257</v>
      </c>
      <c r="J129" s="15">
        <v>11.2</v>
      </c>
      <c r="K129" s="15">
        <v>13.3</v>
      </c>
      <c r="L129" s="15">
        <v>12.7</v>
      </c>
      <c r="M129" s="15">
        <v>9.9</v>
      </c>
      <c r="N129" s="15">
        <v>12.439453985028621</v>
      </c>
      <c r="O129" s="15">
        <v>15.235579040070455</v>
      </c>
      <c r="P129" s="15">
        <v>12.131219726992516</v>
      </c>
      <c r="Q129" s="15">
        <v>3.7</v>
      </c>
      <c r="R129" s="15">
        <v>9.5</v>
      </c>
      <c r="S129" s="15">
        <v>42.8</v>
      </c>
      <c r="T129" s="15">
        <v>4.0999999999999996</v>
      </c>
      <c r="U129" s="12">
        <v>-5</v>
      </c>
      <c r="V129" s="12">
        <v>90</v>
      </c>
      <c r="W129" s="15">
        <v>5.9</v>
      </c>
      <c r="X129" s="15">
        <v>5.4</v>
      </c>
      <c r="Y129" s="24">
        <v>19</v>
      </c>
      <c r="Z129" s="19">
        <v>1.6</v>
      </c>
      <c r="AA129" s="19">
        <v>1.2</v>
      </c>
      <c r="AB129" s="19">
        <v>5</v>
      </c>
      <c r="AC129" s="49">
        <v>2</v>
      </c>
      <c r="AD129" s="27">
        <v>2</v>
      </c>
      <c r="AE129" s="27">
        <v>3</v>
      </c>
      <c r="AF129" s="31">
        <v>0</v>
      </c>
      <c r="AG129" s="15">
        <v>70.025839793281648</v>
      </c>
      <c r="AH129" s="44">
        <v>8.6</v>
      </c>
      <c r="AI129" s="44">
        <v>8.6</v>
      </c>
      <c r="AJ129" s="44">
        <v>38</v>
      </c>
      <c r="AK129" s="44">
        <v>6.4</v>
      </c>
      <c r="AL129" s="44">
        <v>6</v>
      </c>
      <c r="AM129" s="44">
        <v>29</v>
      </c>
      <c r="AN129" s="19"/>
      <c r="AO129" s="19"/>
      <c r="AP129" s="84">
        <v>0</v>
      </c>
      <c r="AQ129" s="60">
        <v>13575</v>
      </c>
      <c r="AR129" s="60">
        <v>9147</v>
      </c>
      <c r="AS129" s="60">
        <v>7242</v>
      </c>
      <c r="AT129" s="60">
        <v>9442.81</v>
      </c>
      <c r="AU129" s="24">
        <v>23926</v>
      </c>
      <c r="AV129" s="60">
        <v>8247.7152076365892</v>
      </c>
      <c r="AW129" s="24">
        <v>11829.92</v>
      </c>
      <c r="AX129" s="24">
        <v>9618.81</v>
      </c>
      <c r="AY129" s="60">
        <v>901.43</v>
      </c>
      <c r="AZ129" s="60">
        <v>218.53</v>
      </c>
    </row>
    <row r="130" spans="1:52">
      <c r="A130" s="3" t="s">
        <v>128</v>
      </c>
      <c r="B130" s="7" t="s">
        <v>263</v>
      </c>
      <c r="C130" s="7" t="s">
        <v>261</v>
      </c>
      <c r="D130" s="15">
        <v>17.769607843137255</v>
      </c>
      <c r="E130" s="15">
        <v>47.17</v>
      </c>
      <c r="F130" s="15" t="s">
        <v>280</v>
      </c>
      <c r="G130" s="12">
        <v>1797.6759709692119</v>
      </c>
      <c r="H130" s="12">
        <v>892</v>
      </c>
      <c r="I130" s="12">
        <v>905</v>
      </c>
      <c r="J130" s="15">
        <v>6.8</v>
      </c>
      <c r="K130" s="15">
        <v>7.3</v>
      </c>
      <c r="L130" s="15">
        <v>7.3</v>
      </c>
      <c r="M130" s="15">
        <v>8.8000000000000007</v>
      </c>
      <c r="N130" s="15">
        <v>14.238042269187986</v>
      </c>
      <c r="O130" s="15">
        <v>16.740823136818687</v>
      </c>
      <c r="P130" s="15">
        <v>19.632925472747498</v>
      </c>
      <c r="Q130" s="15">
        <v>5.3</v>
      </c>
      <c r="R130" s="15">
        <v>13.8</v>
      </c>
      <c r="S130" s="15">
        <v>27</v>
      </c>
      <c r="T130" s="15">
        <v>6.1</v>
      </c>
      <c r="U130" s="12">
        <v>-17</v>
      </c>
      <c r="V130" s="12">
        <v>47</v>
      </c>
      <c r="W130" s="15">
        <v>1.5</v>
      </c>
      <c r="X130" s="15">
        <v>1.4</v>
      </c>
      <c r="Y130" s="24">
        <v>7</v>
      </c>
      <c r="Z130" s="19">
        <v>1.6</v>
      </c>
      <c r="AA130" s="19">
        <v>0.9</v>
      </c>
      <c r="AB130" s="19">
        <v>4</v>
      </c>
      <c r="AC130" s="49">
        <v>7</v>
      </c>
      <c r="AD130" s="27">
        <v>7</v>
      </c>
      <c r="AE130" s="27">
        <v>1</v>
      </c>
      <c r="AF130" s="31">
        <v>0.1</v>
      </c>
      <c r="AG130" s="15">
        <v>66.320474777448069</v>
      </c>
      <c r="AH130" s="44">
        <v>2</v>
      </c>
      <c r="AI130" s="44">
        <v>2</v>
      </c>
      <c r="AJ130" s="44">
        <v>9</v>
      </c>
      <c r="AK130" s="44">
        <v>2.2999999999999998</v>
      </c>
      <c r="AL130" s="44">
        <v>2.1</v>
      </c>
      <c r="AM130" s="44">
        <v>9</v>
      </c>
      <c r="AN130" s="19"/>
      <c r="AO130" s="19"/>
      <c r="AP130" s="84">
        <v>0</v>
      </c>
      <c r="AQ130" s="60">
        <v>10281</v>
      </c>
      <c r="AR130" s="60">
        <v>6965</v>
      </c>
      <c r="AS130" s="60">
        <v>4234</v>
      </c>
      <c r="AT130" s="60">
        <v>4398</v>
      </c>
      <c r="AU130" s="24">
        <v>5426</v>
      </c>
      <c r="AV130" s="60">
        <v>8769.6560751715151</v>
      </c>
      <c r="AW130" s="24">
        <v>7418</v>
      </c>
      <c r="AX130" s="24">
        <v>4589</v>
      </c>
      <c r="AY130" s="60">
        <v>1262</v>
      </c>
      <c r="AZ130" s="60">
        <v>312</v>
      </c>
    </row>
    <row r="131" spans="1:52">
      <c r="A131" s="3" t="s">
        <v>129</v>
      </c>
      <c r="B131" s="7" t="s">
        <v>263</v>
      </c>
      <c r="C131" s="7" t="s">
        <v>260</v>
      </c>
      <c r="D131" s="15">
        <v>13.875039779357165</v>
      </c>
      <c r="E131" s="15">
        <v>14.49</v>
      </c>
      <c r="F131" s="15">
        <v>100</v>
      </c>
      <c r="G131" s="12">
        <v>19704.128489362211</v>
      </c>
      <c r="H131" s="12">
        <v>9980</v>
      </c>
      <c r="I131" s="12">
        <v>9724</v>
      </c>
      <c r="J131" s="15">
        <v>8.1999999999999993</v>
      </c>
      <c r="K131" s="15">
        <v>8.9</v>
      </c>
      <c r="L131" s="15">
        <v>9.1</v>
      </c>
      <c r="M131" s="15">
        <v>9.1999999999999993</v>
      </c>
      <c r="N131" s="15">
        <v>18.305927730410069</v>
      </c>
      <c r="O131" s="15">
        <v>19.046894031668696</v>
      </c>
      <c r="P131" s="15">
        <v>16.539788875355256</v>
      </c>
      <c r="Q131" s="15">
        <v>3.8</v>
      </c>
      <c r="R131" s="15">
        <v>6.9</v>
      </c>
      <c r="S131" s="15">
        <v>31.5</v>
      </c>
      <c r="T131" s="15">
        <v>2.5</v>
      </c>
      <c r="U131" s="12">
        <v>-71</v>
      </c>
      <c r="V131" s="12">
        <v>339</v>
      </c>
      <c r="W131" s="15">
        <v>38.1</v>
      </c>
      <c r="X131" s="15">
        <v>37.4</v>
      </c>
      <c r="Y131" s="24">
        <v>156</v>
      </c>
      <c r="Z131" s="19">
        <v>20</v>
      </c>
      <c r="AA131" s="19">
        <v>16.899999999999999</v>
      </c>
      <c r="AB131" s="19">
        <v>78</v>
      </c>
      <c r="AC131" s="49">
        <v>3</v>
      </c>
      <c r="AD131" s="27">
        <v>3</v>
      </c>
      <c r="AE131" s="27">
        <v>5</v>
      </c>
      <c r="AF131" s="31">
        <v>0.2</v>
      </c>
      <c r="AG131" s="15">
        <v>49.458874458874455</v>
      </c>
      <c r="AH131" s="44">
        <v>17.2</v>
      </c>
      <c r="AI131" s="44">
        <v>16.5</v>
      </c>
      <c r="AJ131" s="44">
        <v>80</v>
      </c>
      <c r="AK131" s="44">
        <v>26</v>
      </c>
      <c r="AL131" s="44">
        <v>21.3</v>
      </c>
      <c r="AM131" s="44">
        <v>100</v>
      </c>
      <c r="AN131" s="19"/>
      <c r="AO131" s="19"/>
      <c r="AP131" s="84">
        <v>0</v>
      </c>
      <c r="AQ131" s="60">
        <v>30275</v>
      </c>
      <c r="AR131" s="60">
        <v>15730</v>
      </c>
      <c r="AS131" s="60">
        <v>11314</v>
      </c>
      <c r="AT131" s="60">
        <v>30738</v>
      </c>
      <c r="AU131" s="24">
        <v>99455</v>
      </c>
      <c r="AV131" s="60">
        <v>7064.3571003482411</v>
      </c>
      <c r="AW131" s="24">
        <v>28085</v>
      </c>
      <c r="AX131" s="24">
        <v>23114</v>
      </c>
      <c r="AY131" s="60">
        <v>3015</v>
      </c>
      <c r="AZ131" s="60">
        <v>0</v>
      </c>
    </row>
    <row r="132" spans="1:52">
      <c r="A132" s="3" t="s">
        <v>130</v>
      </c>
      <c r="B132" s="7" t="s">
        <v>263</v>
      </c>
      <c r="C132" s="7" t="s">
        <v>261</v>
      </c>
      <c r="D132" s="15">
        <v>15.964214711729621</v>
      </c>
      <c r="E132" s="15">
        <v>26.36</v>
      </c>
      <c r="F132" s="15" t="s">
        <v>280</v>
      </c>
      <c r="G132" s="12">
        <v>11169.911314599456</v>
      </c>
      <c r="H132" s="12">
        <v>5889</v>
      </c>
      <c r="I132" s="12">
        <v>5281</v>
      </c>
      <c r="J132" s="15">
        <v>10</v>
      </c>
      <c r="K132" s="15">
        <v>10.5</v>
      </c>
      <c r="L132" s="15">
        <v>9.1</v>
      </c>
      <c r="M132" s="15">
        <v>9.1</v>
      </c>
      <c r="N132" s="15">
        <v>16.034019695613249</v>
      </c>
      <c r="O132" s="15">
        <v>18.451208594449415</v>
      </c>
      <c r="P132" s="15">
        <v>13.598925693822739</v>
      </c>
      <c r="Q132" s="15">
        <v>3.9</v>
      </c>
      <c r="R132" s="15">
        <v>9.1999999999999993</v>
      </c>
      <c r="S132" s="15">
        <v>35.299999999999997</v>
      </c>
      <c r="T132" s="15">
        <v>3.5</v>
      </c>
      <c r="U132" s="12">
        <v>-24</v>
      </c>
      <c r="V132" s="12">
        <v>441</v>
      </c>
      <c r="W132" s="15">
        <v>11.8</v>
      </c>
      <c r="X132" s="15">
        <v>9.5</v>
      </c>
      <c r="Y132" s="24">
        <v>44</v>
      </c>
      <c r="Z132" s="19">
        <v>14.4</v>
      </c>
      <c r="AA132" s="19">
        <v>7.7</v>
      </c>
      <c r="AB132" s="19">
        <v>39</v>
      </c>
      <c r="AC132" s="49">
        <v>4</v>
      </c>
      <c r="AD132" s="27">
        <v>4</v>
      </c>
      <c r="AE132" s="27">
        <v>2</v>
      </c>
      <c r="AF132" s="31">
        <v>0.9</v>
      </c>
      <c r="AG132" s="15">
        <v>66.098460755629048</v>
      </c>
      <c r="AH132" s="44">
        <v>18.5</v>
      </c>
      <c r="AI132" s="44">
        <v>17.5</v>
      </c>
      <c r="AJ132" s="44">
        <v>104</v>
      </c>
      <c r="AK132" s="44">
        <v>11.3</v>
      </c>
      <c r="AL132" s="44">
        <v>10.3</v>
      </c>
      <c r="AM132" s="44">
        <v>56</v>
      </c>
      <c r="AN132" s="19"/>
      <c r="AO132" s="19"/>
      <c r="AP132" s="84">
        <v>0</v>
      </c>
      <c r="AQ132" s="60">
        <v>44984</v>
      </c>
      <c r="AR132" s="60">
        <v>29380</v>
      </c>
      <c r="AS132" s="60">
        <v>10789</v>
      </c>
      <c r="AT132" s="60">
        <v>15230</v>
      </c>
      <c r="AU132" s="24">
        <v>63533</v>
      </c>
      <c r="AV132" s="60">
        <v>9719.6832581918443</v>
      </c>
      <c r="AW132" s="24">
        <v>32752</v>
      </c>
      <c r="AX132" s="24">
        <v>14555</v>
      </c>
      <c r="AY132" s="60">
        <v>2241</v>
      </c>
      <c r="AZ132" s="60">
        <v>11732</v>
      </c>
    </row>
    <row r="133" spans="1:52">
      <c r="A133" s="3" t="s">
        <v>131</v>
      </c>
      <c r="B133" s="7" t="s">
        <v>263</v>
      </c>
      <c r="C133" s="7" t="s">
        <v>260</v>
      </c>
      <c r="D133" s="15">
        <v>14.835716077251066</v>
      </c>
      <c r="E133" s="15">
        <v>14.26</v>
      </c>
      <c r="F133" s="15">
        <v>99.6</v>
      </c>
      <c r="G133" s="12">
        <v>17759.46874564785</v>
      </c>
      <c r="H133" s="12">
        <v>9170</v>
      </c>
      <c r="I133" s="12">
        <v>8589</v>
      </c>
      <c r="J133" s="15">
        <v>8.3000000000000007</v>
      </c>
      <c r="K133" s="15">
        <v>8.5</v>
      </c>
      <c r="L133" s="15">
        <v>9.1</v>
      </c>
      <c r="M133" s="15">
        <v>9.5</v>
      </c>
      <c r="N133" s="15">
        <v>18.266794301480939</v>
      </c>
      <c r="O133" s="15">
        <v>20.947125401205021</v>
      </c>
      <c r="P133" s="15">
        <v>15.366856241905513</v>
      </c>
      <c r="Q133" s="15">
        <v>3.6</v>
      </c>
      <c r="R133" s="15">
        <v>6.4</v>
      </c>
      <c r="S133" s="15">
        <v>31.6</v>
      </c>
      <c r="T133" s="15">
        <v>2.2999999999999998</v>
      </c>
      <c r="U133" s="12">
        <v>-9</v>
      </c>
      <c r="V133" s="12">
        <v>318</v>
      </c>
      <c r="W133" s="15">
        <v>15.2</v>
      </c>
      <c r="X133" s="15">
        <v>12</v>
      </c>
      <c r="Y133" s="24">
        <v>49</v>
      </c>
      <c r="Z133" s="19">
        <v>41.8</v>
      </c>
      <c r="AA133" s="19">
        <v>16.7</v>
      </c>
      <c r="AB133" s="19">
        <v>65</v>
      </c>
      <c r="AC133" s="49">
        <v>3</v>
      </c>
      <c r="AD133" s="27">
        <v>3</v>
      </c>
      <c r="AE133" s="27">
        <v>3</v>
      </c>
      <c r="AF133" s="31">
        <v>1.8</v>
      </c>
      <c r="AG133" s="15">
        <v>51.137261789760259</v>
      </c>
      <c r="AH133" s="44">
        <v>19.8</v>
      </c>
      <c r="AI133" s="44">
        <v>17.600000000000001</v>
      </c>
      <c r="AJ133" s="44">
        <v>68</v>
      </c>
      <c r="AK133" s="44">
        <v>21.7</v>
      </c>
      <c r="AL133" s="44">
        <v>7.5</v>
      </c>
      <c r="AM133" s="44">
        <v>32</v>
      </c>
      <c r="AN133" s="19"/>
      <c r="AO133" s="19"/>
      <c r="AP133" s="84">
        <v>0</v>
      </c>
      <c r="AQ133" s="60">
        <v>43799</v>
      </c>
      <c r="AR133" s="60">
        <v>26620</v>
      </c>
      <c r="AS133" s="60">
        <v>13706</v>
      </c>
      <c r="AT133" s="60">
        <v>20151.400000000001</v>
      </c>
      <c r="AU133" s="24">
        <v>77033</v>
      </c>
      <c r="AV133" s="60">
        <v>6803.4129697494172</v>
      </c>
      <c r="AW133" s="24">
        <v>36522.076000000001</v>
      </c>
      <c r="AX133" s="24">
        <v>20407.400000000001</v>
      </c>
      <c r="AY133" s="60">
        <v>12014.9</v>
      </c>
      <c r="AZ133" s="60">
        <v>346.29</v>
      </c>
    </row>
    <row r="134" spans="1:52">
      <c r="A134" s="3" t="s">
        <v>132</v>
      </c>
      <c r="B134" s="7" t="s">
        <v>263</v>
      </c>
      <c r="C134" s="7" t="s">
        <v>260</v>
      </c>
      <c r="D134" s="15">
        <v>14.459234608985025</v>
      </c>
      <c r="E134" s="15">
        <v>17.68</v>
      </c>
      <c r="F134" s="15">
        <v>99.9</v>
      </c>
      <c r="G134" s="12">
        <v>14627.895359852748</v>
      </c>
      <c r="H134" s="12">
        <v>7394</v>
      </c>
      <c r="I134" s="12">
        <v>7234</v>
      </c>
      <c r="J134" s="15">
        <v>9</v>
      </c>
      <c r="K134" s="15">
        <v>9.6999999999999993</v>
      </c>
      <c r="L134" s="15">
        <v>9.8000000000000007</v>
      </c>
      <c r="M134" s="15">
        <v>9.9</v>
      </c>
      <c r="N134" s="15">
        <v>17.698933552091876</v>
      </c>
      <c r="O134" s="15">
        <v>19.54470877768663</v>
      </c>
      <c r="P134" s="15">
        <v>16.003554826360407</v>
      </c>
      <c r="Q134" s="15">
        <v>3.1</v>
      </c>
      <c r="R134" s="15">
        <v>5.2</v>
      </c>
      <c r="S134" s="15">
        <v>34.4</v>
      </c>
      <c r="T134" s="15">
        <v>1.9</v>
      </c>
      <c r="U134" s="12">
        <v>27</v>
      </c>
      <c r="V134" s="12">
        <v>216</v>
      </c>
      <c r="W134" s="15">
        <v>8.1</v>
      </c>
      <c r="X134" s="15">
        <v>8.1</v>
      </c>
      <c r="Y134" s="24">
        <v>49</v>
      </c>
      <c r="Z134" s="19">
        <v>6.2</v>
      </c>
      <c r="AA134" s="19">
        <v>6.2</v>
      </c>
      <c r="AB134" s="19">
        <v>31</v>
      </c>
      <c r="AC134" s="49">
        <v>3</v>
      </c>
      <c r="AD134" s="27">
        <v>3</v>
      </c>
      <c r="AE134" s="27">
        <v>4</v>
      </c>
      <c r="AF134" s="31">
        <v>0.8</v>
      </c>
      <c r="AG134" s="15">
        <v>70.530565167243367</v>
      </c>
      <c r="AH134" s="44">
        <v>19.899999999999999</v>
      </c>
      <c r="AI134" s="44">
        <v>18.3</v>
      </c>
      <c r="AJ134" s="44">
        <v>98</v>
      </c>
      <c r="AK134" s="44">
        <v>22.2</v>
      </c>
      <c r="AL134" s="44">
        <v>20.100000000000001</v>
      </c>
      <c r="AM134" s="44">
        <v>95</v>
      </c>
      <c r="AN134" s="19"/>
      <c r="AO134" s="19"/>
      <c r="AP134" s="84">
        <v>0</v>
      </c>
      <c r="AQ134" s="60">
        <v>25857</v>
      </c>
      <c r="AR134" s="60">
        <v>16815</v>
      </c>
      <c r="AS134" s="60">
        <v>13620</v>
      </c>
      <c r="AT134" s="60">
        <v>15260.0918</v>
      </c>
      <c r="AU134" s="24">
        <v>69996</v>
      </c>
      <c r="AV134" s="60">
        <v>6570.8017206494133</v>
      </c>
      <c r="AW134" s="24">
        <v>24358.5648</v>
      </c>
      <c r="AX134" s="24">
        <v>19744.091799999998</v>
      </c>
      <c r="AY134" s="60">
        <v>1604.6137000000001</v>
      </c>
      <c r="AZ134" s="60">
        <v>38.152900000000002</v>
      </c>
    </row>
    <row r="135" spans="1:52">
      <c r="A135" s="3" t="s">
        <v>133</v>
      </c>
      <c r="B135" s="7" t="s">
        <v>263</v>
      </c>
      <c r="C135" s="7" t="s">
        <v>260</v>
      </c>
      <c r="D135" s="15">
        <v>10.313662945241893</v>
      </c>
      <c r="E135" s="15">
        <v>24.51</v>
      </c>
      <c r="F135" s="15">
        <v>99.9</v>
      </c>
      <c r="G135" s="12">
        <v>3772.6263160970484</v>
      </c>
      <c r="H135" s="12">
        <v>1880</v>
      </c>
      <c r="I135" s="12">
        <v>1893</v>
      </c>
      <c r="J135" s="15">
        <v>8.3000000000000007</v>
      </c>
      <c r="K135" s="15">
        <v>9.3000000000000007</v>
      </c>
      <c r="L135" s="15">
        <v>9.5</v>
      </c>
      <c r="M135" s="15">
        <v>9.1999999999999993</v>
      </c>
      <c r="N135" s="15">
        <v>16.167505963424329</v>
      </c>
      <c r="O135" s="15">
        <v>19.931089318844421</v>
      </c>
      <c r="P135" s="15">
        <v>17.492711370262391</v>
      </c>
      <c r="Q135" s="15">
        <v>3</v>
      </c>
      <c r="R135" s="15">
        <v>7.1</v>
      </c>
      <c r="S135" s="15">
        <v>32.5</v>
      </c>
      <c r="T135" s="15">
        <v>3</v>
      </c>
      <c r="U135" s="12">
        <v>7</v>
      </c>
      <c r="V135" s="12">
        <v>102</v>
      </c>
      <c r="W135" s="15">
        <v>6</v>
      </c>
      <c r="X135" s="15">
        <v>6</v>
      </c>
      <c r="Y135" s="24">
        <v>24</v>
      </c>
      <c r="Z135" s="19">
        <v>2.8</v>
      </c>
      <c r="AA135" s="19">
        <v>2.7</v>
      </c>
      <c r="AB135" s="19">
        <v>13</v>
      </c>
      <c r="AC135" s="49">
        <v>5</v>
      </c>
      <c r="AD135" s="27">
        <v>4</v>
      </c>
      <c r="AE135" s="27">
        <v>4</v>
      </c>
      <c r="AF135" s="31">
        <v>0</v>
      </c>
      <c r="AG135" s="15">
        <v>61.37660485021398</v>
      </c>
      <c r="AH135" s="44">
        <v>7.8</v>
      </c>
      <c r="AI135" s="44">
        <v>6.7</v>
      </c>
      <c r="AJ135" s="44">
        <v>29</v>
      </c>
      <c r="AK135" s="44">
        <v>5.7</v>
      </c>
      <c r="AL135" s="44">
        <v>4.5999999999999996</v>
      </c>
      <c r="AM135" s="44">
        <v>19</v>
      </c>
      <c r="AN135" s="19"/>
      <c r="AO135" s="19"/>
      <c r="AP135" s="84">
        <v>0</v>
      </c>
      <c r="AQ135" s="60">
        <v>6417</v>
      </c>
      <c r="AR135" s="60">
        <v>3309</v>
      </c>
      <c r="AS135" s="60">
        <v>3063</v>
      </c>
      <c r="AT135" s="60">
        <v>4977</v>
      </c>
      <c r="AU135" s="24">
        <v>32690</v>
      </c>
      <c r="AV135" s="60">
        <v>10516.28141136558</v>
      </c>
      <c r="AW135" s="24">
        <v>4091</v>
      </c>
      <c r="AX135" s="24">
        <v>3928</v>
      </c>
      <c r="AY135" s="60">
        <v>140</v>
      </c>
      <c r="AZ135" s="60">
        <v>0</v>
      </c>
    </row>
    <row r="136" spans="1:52">
      <c r="A136" s="3" t="s">
        <v>134</v>
      </c>
      <c r="B136" s="7" t="s">
        <v>263</v>
      </c>
      <c r="C136" s="7" t="s">
        <v>261</v>
      </c>
      <c r="D136" s="15">
        <v>16.320855614973262</v>
      </c>
      <c r="E136" s="15">
        <v>67.180000000000007</v>
      </c>
      <c r="F136" s="15" t="s">
        <v>280</v>
      </c>
      <c r="G136" s="12">
        <v>8976.544152958144</v>
      </c>
      <c r="H136" s="12">
        <v>4529</v>
      </c>
      <c r="I136" s="12">
        <v>4447</v>
      </c>
      <c r="J136" s="15">
        <v>5.4</v>
      </c>
      <c r="K136" s="15">
        <v>7.9</v>
      </c>
      <c r="L136" s="15">
        <v>8</v>
      </c>
      <c r="M136" s="15">
        <v>7.8</v>
      </c>
      <c r="N136" s="15">
        <v>13.824217444580594</v>
      </c>
      <c r="O136" s="15">
        <v>14.058148601982845</v>
      </c>
      <c r="P136" s="15">
        <v>20.741895956332851</v>
      </c>
      <c r="Q136" s="15">
        <v>7.3</v>
      </c>
      <c r="R136" s="15">
        <v>15</v>
      </c>
      <c r="S136" s="15">
        <v>26.1</v>
      </c>
      <c r="T136" s="15">
        <v>4</v>
      </c>
      <c r="U136" s="12">
        <v>-15</v>
      </c>
      <c r="V136" s="12">
        <v>77</v>
      </c>
      <c r="W136" s="15">
        <v>4.0999999999999996</v>
      </c>
      <c r="X136" s="15">
        <v>3.4</v>
      </c>
      <c r="Y136" s="24">
        <v>10</v>
      </c>
      <c r="Z136" s="19">
        <v>6</v>
      </c>
      <c r="AA136" s="19">
        <v>6</v>
      </c>
      <c r="AB136" s="19">
        <v>21</v>
      </c>
      <c r="AC136" s="49">
        <v>9</v>
      </c>
      <c r="AD136" s="27">
        <v>10</v>
      </c>
      <c r="AE136" s="27">
        <v>6</v>
      </c>
      <c r="AF136" s="31">
        <v>4.9000000000000004</v>
      </c>
      <c r="AG136" s="15">
        <v>72.985055562651681</v>
      </c>
      <c r="AH136" s="44">
        <v>3.7</v>
      </c>
      <c r="AI136" s="44">
        <v>3.6</v>
      </c>
      <c r="AJ136" s="44">
        <v>11</v>
      </c>
      <c r="AK136" s="44">
        <v>4</v>
      </c>
      <c r="AL136" s="44">
        <v>4</v>
      </c>
      <c r="AM136" s="44">
        <v>14</v>
      </c>
      <c r="AN136" s="19"/>
      <c r="AO136" s="19"/>
      <c r="AP136" s="84">
        <v>0</v>
      </c>
      <c r="AQ136" s="60">
        <v>51711</v>
      </c>
      <c r="AR136" s="60">
        <v>42284</v>
      </c>
      <c r="AS136" s="60">
        <v>29096</v>
      </c>
      <c r="AT136" s="60">
        <v>30361</v>
      </c>
      <c r="AU136" s="24">
        <v>21202</v>
      </c>
      <c r="AV136" s="60">
        <v>7951.8352256394046</v>
      </c>
      <c r="AW136" s="24">
        <v>44476</v>
      </c>
      <c r="AX136" s="24">
        <v>31005</v>
      </c>
      <c r="AY136" s="60">
        <v>6754</v>
      </c>
      <c r="AZ136" s="60">
        <v>5347</v>
      </c>
    </row>
    <row r="137" spans="1:52">
      <c r="A137" s="3" t="s">
        <v>135</v>
      </c>
      <c r="B137" s="7" t="s">
        <v>263</v>
      </c>
      <c r="C137" s="7" t="s">
        <v>260</v>
      </c>
      <c r="D137" s="15">
        <v>12.812812812812812</v>
      </c>
      <c r="E137" s="15">
        <v>13.89</v>
      </c>
      <c r="F137" s="15">
        <v>99.9</v>
      </c>
      <c r="G137" s="12">
        <v>23989.77442701094</v>
      </c>
      <c r="H137" s="12">
        <v>12034</v>
      </c>
      <c r="I137" s="12">
        <v>11956</v>
      </c>
      <c r="J137" s="15">
        <v>17.5</v>
      </c>
      <c r="K137" s="15">
        <v>14.4</v>
      </c>
      <c r="L137" s="15">
        <v>13</v>
      </c>
      <c r="M137" s="15">
        <v>11.3</v>
      </c>
      <c r="N137" s="15">
        <v>17.507294706127553</v>
      </c>
      <c r="O137" s="15">
        <v>14.76865360566903</v>
      </c>
      <c r="P137" s="15">
        <v>7.9366402667778235</v>
      </c>
      <c r="Q137" s="15">
        <v>1.3</v>
      </c>
      <c r="R137" s="15">
        <v>2.2000000000000002</v>
      </c>
      <c r="S137" s="15">
        <v>51.8</v>
      </c>
      <c r="T137" s="15">
        <v>0.7</v>
      </c>
      <c r="U137" s="12">
        <v>4</v>
      </c>
      <c r="V137" s="12">
        <v>252</v>
      </c>
      <c r="W137" s="15">
        <v>35.299999999999997</v>
      </c>
      <c r="X137" s="15">
        <v>35.299999999999997</v>
      </c>
      <c r="Y137" s="24">
        <v>131</v>
      </c>
      <c r="Z137" s="19">
        <v>16.2</v>
      </c>
      <c r="AA137" s="19">
        <v>14.8</v>
      </c>
      <c r="AB137" s="19">
        <v>62</v>
      </c>
      <c r="AC137" s="49">
        <v>1</v>
      </c>
      <c r="AD137" s="27">
        <v>1</v>
      </c>
      <c r="AE137" s="27">
        <v>2</v>
      </c>
      <c r="AF137" s="31">
        <v>0</v>
      </c>
      <c r="AG137" s="15">
        <v>55.611390284757121</v>
      </c>
      <c r="AH137" s="44">
        <v>3.8</v>
      </c>
      <c r="AI137" s="44">
        <v>3.8</v>
      </c>
      <c r="AJ137" s="44">
        <v>20</v>
      </c>
      <c r="AK137" s="44">
        <v>4</v>
      </c>
      <c r="AL137" s="44">
        <v>4</v>
      </c>
      <c r="AM137" s="44">
        <v>23</v>
      </c>
      <c r="AN137" s="19"/>
      <c r="AO137" s="19"/>
      <c r="AP137" s="84">
        <v>0</v>
      </c>
      <c r="AQ137" s="60">
        <v>17208</v>
      </c>
      <c r="AR137" s="60">
        <v>2402</v>
      </c>
      <c r="AS137" s="60">
        <v>1989</v>
      </c>
      <c r="AT137" s="60">
        <v>12635.04</v>
      </c>
      <c r="AU137" s="24">
        <v>77614</v>
      </c>
      <c r="AV137" s="60">
        <v>4021.2133004211682</v>
      </c>
      <c r="AW137" s="24">
        <v>9532.1946000000007</v>
      </c>
      <c r="AX137" s="24">
        <v>8639.64</v>
      </c>
      <c r="AY137" s="60">
        <v>792.58</v>
      </c>
      <c r="AZ137" s="60">
        <v>0</v>
      </c>
    </row>
    <row r="138" spans="1:52">
      <c r="A138" s="3" t="s">
        <v>136</v>
      </c>
      <c r="B138" s="7" t="s">
        <v>263</v>
      </c>
      <c r="C138" s="7" t="s">
        <v>260</v>
      </c>
      <c r="D138" s="15">
        <v>19.671746776084408</v>
      </c>
      <c r="E138" s="15">
        <v>14.02</v>
      </c>
      <c r="F138" s="15">
        <v>100</v>
      </c>
      <c r="G138" s="12">
        <v>9223.2867716217715</v>
      </c>
      <c r="H138" s="12">
        <v>4694</v>
      </c>
      <c r="I138" s="12">
        <v>4530</v>
      </c>
      <c r="J138" s="15">
        <v>9.6</v>
      </c>
      <c r="K138" s="15">
        <v>9.8000000000000007</v>
      </c>
      <c r="L138" s="15">
        <v>9.4</v>
      </c>
      <c r="M138" s="15">
        <v>10</v>
      </c>
      <c r="N138" s="15">
        <v>18.302070909682318</v>
      </c>
      <c r="O138" s="15">
        <v>21.413856662691096</v>
      </c>
      <c r="P138" s="15">
        <v>13.96508728179551</v>
      </c>
      <c r="Q138" s="15">
        <v>2.8</v>
      </c>
      <c r="R138" s="15">
        <v>4.8</v>
      </c>
      <c r="S138" s="15">
        <v>35</v>
      </c>
      <c r="T138" s="15">
        <v>1.8</v>
      </c>
      <c r="U138" s="12">
        <v>-19</v>
      </c>
      <c r="V138" s="12">
        <v>178</v>
      </c>
      <c r="W138" s="15">
        <v>20.399999999999999</v>
      </c>
      <c r="X138" s="15">
        <v>14.6</v>
      </c>
      <c r="Y138" s="24">
        <v>51</v>
      </c>
      <c r="Z138" s="19">
        <v>20.8</v>
      </c>
      <c r="AA138" s="19">
        <v>12.2</v>
      </c>
      <c r="AB138" s="19">
        <v>43</v>
      </c>
      <c r="AC138" s="49">
        <v>3</v>
      </c>
      <c r="AD138" s="27">
        <v>3</v>
      </c>
      <c r="AE138" s="27">
        <v>3</v>
      </c>
      <c r="AF138" s="31">
        <v>0.1</v>
      </c>
      <c r="AG138" s="15">
        <v>32.294757665677551</v>
      </c>
      <c r="AH138" s="44">
        <v>11.8</v>
      </c>
      <c r="AI138" s="44">
        <v>11.3</v>
      </c>
      <c r="AJ138" s="44">
        <v>48</v>
      </c>
      <c r="AK138" s="44">
        <v>13.5</v>
      </c>
      <c r="AL138" s="44">
        <v>11.9</v>
      </c>
      <c r="AM138" s="44">
        <v>52</v>
      </c>
      <c r="AN138" s="19"/>
      <c r="AO138" s="19"/>
      <c r="AP138" s="84">
        <v>0</v>
      </c>
      <c r="AQ138" s="60">
        <v>17687</v>
      </c>
      <c r="AR138" s="60">
        <v>9750</v>
      </c>
      <c r="AS138" s="60">
        <v>8406</v>
      </c>
      <c r="AT138" s="60">
        <v>11289.689399999999</v>
      </c>
      <c r="AU138" s="24">
        <v>47446</v>
      </c>
      <c r="AV138" s="60">
        <v>6737.9586386938909</v>
      </c>
      <c r="AW138" s="24">
        <v>14712.5556</v>
      </c>
      <c r="AX138" s="24">
        <v>13049.5918</v>
      </c>
      <c r="AY138" s="60">
        <v>1007.0059</v>
      </c>
      <c r="AZ138" s="60">
        <v>0</v>
      </c>
    </row>
    <row r="139" spans="1:52">
      <c r="A139" s="3" t="s">
        <v>137</v>
      </c>
      <c r="B139" s="7" t="s">
        <v>263</v>
      </c>
      <c r="C139" s="7" t="s">
        <v>260</v>
      </c>
      <c r="D139" s="15">
        <v>13.111111111111112</v>
      </c>
      <c r="E139" s="15">
        <v>15.27</v>
      </c>
      <c r="F139" s="15">
        <v>99.7</v>
      </c>
      <c r="G139" s="12">
        <v>5878.2220949482426</v>
      </c>
      <c r="H139" s="12">
        <v>2948</v>
      </c>
      <c r="I139" s="12">
        <v>2930</v>
      </c>
      <c r="J139" s="15">
        <v>10</v>
      </c>
      <c r="K139" s="15">
        <v>10.4</v>
      </c>
      <c r="L139" s="15">
        <v>9.6999999999999993</v>
      </c>
      <c r="M139" s="15">
        <v>9.6</v>
      </c>
      <c r="N139" s="15">
        <v>19.156175569921743</v>
      </c>
      <c r="O139" s="15">
        <v>18.93501190881252</v>
      </c>
      <c r="P139" s="15">
        <v>14.324600204151071</v>
      </c>
      <c r="Q139" s="15">
        <v>3.1</v>
      </c>
      <c r="R139" s="15">
        <v>4.8</v>
      </c>
      <c r="S139" s="15">
        <v>35.700000000000003</v>
      </c>
      <c r="T139" s="15">
        <v>1.6</v>
      </c>
      <c r="U139" s="12">
        <v>40</v>
      </c>
      <c r="V139" s="12">
        <v>129</v>
      </c>
      <c r="W139" s="15">
        <v>5</v>
      </c>
      <c r="X139" s="15">
        <v>4.5</v>
      </c>
      <c r="Y139" s="24">
        <v>17</v>
      </c>
      <c r="Z139" s="19">
        <v>10.3</v>
      </c>
      <c r="AA139" s="19">
        <v>10.3</v>
      </c>
      <c r="AB139" s="19">
        <v>42</v>
      </c>
      <c r="AC139" s="49">
        <v>3</v>
      </c>
      <c r="AD139" s="27">
        <v>3</v>
      </c>
      <c r="AE139" s="27">
        <v>4</v>
      </c>
      <c r="AF139" s="31">
        <v>0</v>
      </c>
      <c r="AG139" s="15">
        <v>56.3549761845074</v>
      </c>
      <c r="AH139" s="44">
        <v>11.6</v>
      </c>
      <c r="AI139" s="44">
        <v>11.6</v>
      </c>
      <c r="AJ139" s="44">
        <v>59</v>
      </c>
      <c r="AK139" s="44">
        <v>24.1</v>
      </c>
      <c r="AL139" s="44">
        <v>23.8</v>
      </c>
      <c r="AM139" s="44">
        <v>106</v>
      </c>
      <c r="AN139" s="19"/>
      <c r="AO139" s="19"/>
      <c r="AP139" s="84">
        <v>0</v>
      </c>
      <c r="AQ139" s="60">
        <v>6190</v>
      </c>
      <c r="AR139" s="60">
        <v>1749</v>
      </c>
      <c r="AS139" s="60">
        <v>1675</v>
      </c>
      <c r="AT139" s="60">
        <v>9143.6877000000004</v>
      </c>
      <c r="AU139" s="24">
        <v>27022</v>
      </c>
      <c r="AV139" s="60">
        <v>6055.0621301955744</v>
      </c>
      <c r="AW139" s="24">
        <v>10461.4259</v>
      </c>
      <c r="AX139" s="24">
        <v>10251.6877</v>
      </c>
      <c r="AY139" s="60">
        <v>184.15</v>
      </c>
      <c r="AZ139" s="60">
        <v>11.8904</v>
      </c>
    </row>
    <row r="140" spans="1:52">
      <c r="A140" s="3" t="s">
        <v>138</v>
      </c>
      <c r="B140" s="7" t="s">
        <v>263</v>
      </c>
      <c r="C140" s="7" t="s">
        <v>260</v>
      </c>
      <c r="D140" s="15">
        <v>14.015843997562463</v>
      </c>
      <c r="E140" s="15">
        <v>19.88</v>
      </c>
      <c r="F140" s="15">
        <v>99.9</v>
      </c>
      <c r="G140" s="12">
        <v>3945.5445173887633</v>
      </c>
      <c r="H140" s="12">
        <v>1968</v>
      </c>
      <c r="I140" s="12">
        <v>1978</v>
      </c>
      <c r="J140" s="15">
        <v>12</v>
      </c>
      <c r="K140" s="15">
        <v>10.7</v>
      </c>
      <c r="L140" s="15">
        <v>9.4</v>
      </c>
      <c r="M140" s="15">
        <v>9.9</v>
      </c>
      <c r="N140" s="15">
        <v>20.957932083122149</v>
      </c>
      <c r="O140" s="15">
        <v>16.852508869741513</v>
      </c>
      <c r="P140" s="15">
        <v>13.38063862138875</v>
      </c>
      <c r="Q140" s="15">
        <v>2.7</v>
      </c>
      <c r="R140" s="15">
        <v>4.0999999999999996</v>
      </c>
      <c r="S140" s="15">
        <v>37.799999999999997</v>
      </c>
      <c r="T140" s="15">
        <v>1.5</v>
      </c>
      <c r="U140" s="12">
        <v>-2</v>
      </c>
      <c r="V140" s="12">
        <v>27</v>
      </c>
      <c r="W140" s="15">
        <v>30.5</v>
      </c>
      <c r="X140" s="15">
        <v>30.5</v>
      </c>
      <c r="Y140" s="24">
        <v>161</v>
      </c>
      <c r="Z140" s="19">
        <v>3.7</v>
      </c>
      <c r="AA140" s="19">
        <v>3.7</v>
      </c>
      <c r="AB140" s="19">
        <v>12</v>
      </c>
      <c r="AC140" s="49">
        <v>4</v>
      </c>
      <c r="AD140" s="27">
        <v>4</v>
      </c>
      <c r="AE140" s="27">
        <v>7</v>
      </c>
      <c r="AF140" s="31">
        <v>2.2000000000000002</v>
      </c>
      <c r="AG140" s="15">
        <v>64.790372670807443</v>
      </c>
      <c r="AH140" s="44">
        <v>6.6</v>
      </c>
      <c r="AI140" s="44">
        <v>4.4000000000000004</v>
      </c>
      <c r="AJ140" s="44">
        <v>27</v>
      </c>
      <c r="AK140" s="44">
        <v>2.2999999999999998</v>
      </c>
      <c r="AL140" s="44">
        <v>2.2999999999999998</v>
      </c>
      <c r="AM140" s="44">
        <v>13</v>
      </c>
      <c r="AN140" s="19"/>
      <c r="AO140" s="19"/>
      <c r="AP140" s="84">
        <v>0</v>
      </c>
      <c r="AQ140" s="60">
        <v>9296</v>
      </c>
      <c r="AR140" s="60">
        <v>3371</v>
      </c>
      <c r="AS140" s="60">
        <v>3034</v>
      </c>
      <c r="AT140" s="60">
        <v>5356.98</v>
      </c>
      <c r="AU140" s="24">
        <v>26257</v>
      </c>
      <c r="AV140" s="60">
        <v>9006.8683405754764</v>
      </c>
      <c r="AW140" s="24">
        <v>6542.2819</v>
      </c>
      <c r="AX140" s="24">
        <v>5934.98</v>
      </c>
      <c r="AY140" s="60">
        <v>555.63409999999999</v>
      </c>
      <c r="AZ140" s="60">
        <v>0</v>
      </c>
    </row>
    <row r="141" spans="1:52">
      <c r="A141" s="3" t="s">
        <v>139</v>
      </c>
      <c r="B141" s="7" t="s">
        <v>263</v>
      </c>
      <c r="C141" s="7" t="s">
        <v>261</v>
      </c>
      <c r="D141" s="15">
        <v>15.608465608465607</v>
      </c>
      <c r="E141" s="15">
        <v>56.33</v>
      </c>
      <c r="F141" s="15">
        <v>4.2</v>
      </c>
      <c r="G141" s="12">
        <v>5561.9768664954308</v>
      </c>
      <c r="H141" s="12">
        <v>2699</v>
      </c>
      <c r="I141" s="12">
        <v>2863</v>
      </c>
      <c r="J141" s="15">
        <v>3.9</v>
      </c>
      <c r="K141" s="15">
        <v>6.7</v>
      </c>
      <c r="L141" s="15">
        <v>8.3000000000000007</v>
      </c>
      <c r="M141" s="15">
        <v>9.1</v>
      </c>
      <c r="N141" s="15">
        <v>13.53829557713053</v>
      </c>
      <c r="O141" s="15">
        <v>13.052858683926646</v>
      </c>
      <c r="P141" s="15">
        <v>20.550161812297734</v>
      </c>
      <c r="Q141" s="15">
        <v>5.9</v>
      </c>
      <c r="R141" s="15">
        <v>18.899999999999999</v>
      </c>
      <c r="S141" s="15">
        <v>24.5</v>
      </c>
      <c r="T141" s="15">
        <v>6.5</v>
      </c>
      <c r="U141" s="12">
        <v>19</v>
      </c>
      <c r="V141" s="12">
        <v>107</v>
      </c>
      <c r="W141" s="15">
        <v>8.1999999999999993</v>
      </c>
      <c r="X141" s="15">
        <v>8.1999999999999993</v>
      </c>
      <c r="Y141" s="24">
        <v>36</v>
      </c>
      <c r="Z141" s="19">
        <v>3.8</v>
      </c>
      <c r="AA141" s="19">
        <v>3.6</v>
      </c>
      <c r="AB141" s="19">
        <v>16</v>
      </c>
      <c r="AC141" s="49">
        <v>9</v>
      </c>
      <c r="AD141" s="27">
        <v>9</v>
      </c>
      <c r="AE141" s="27">
        <v>3</v>
      </c>
      <c r="AF141" s="31">
        <v>0</v>
      </c>
      <c r="AG141" s="15">
        <v>66.15062761506276</v>
      </c>
      <c r="AH141" s="44">
        <v>4.7</v>
      </c>
      <c r="AI141" s="44">
        <v>3</v>
      </c>
      <c r="AJ141" s="44">
        <v>14</v>
      </c>
      <c r="AK141" s="44">
        <v>4.8</v>
      </c>
      <c r="AL141" s="44">
        <v>4.7</v>
      </c>
      <c r="AM141" s="44">
        <v>19</v>
      </c>
      <c r="AN141" s="19"/>
      <c r="AO141" s="19"/>
      <c r="AP141" s="84">
        <v>0</v>
      </c>
      <c r="AQ141" s="60">
        <v>30822</v>
      </c>
      <c r="AR141" s="60">
        <v>21236</v>
      </c>
      <c r="AS141" s="60">
        <v>19893</v>
      </c>
      <c r="AT141" s="60">
        <v>21191.97</v>
      </c>
      <c r="AU141" s="24">
        <v>32695</v>
      </c>
      <c r="AV141" s="60">
        <v>11473.258794801286</v>
      </c>
      <c r="AW141" s="24">
        <v>22863.643</v>
      </c>
      <c r="AX141" s="24">
        <v>21583.47</v>
      </c>
      <c r="AY141" s="60">
        <v>928.67</v>
      </c>
      <c r="AZ141" s="60">
        <v>0</v>
      </c>
    </row>
    <row r="142" spans="1:52">
      <c r="A142" s="3" t="s">
        <v>140</v>
      </c>
      <c r="B142" s="7" t="s">
        <v>263</v>
      </c>
      <c r="C142" s="7" t="s">
        <v>260</v>
      </c>
      <c r="D142" s="15">
        <v>13.960980848398066</v>
      </c>
      <c r="E142" s="15">
        <v>24.98</v>
      </c>
      <c r="F142" s="15">
        <v>99.8</v>
      </c>
      <c r="G142" s="12">
        <v>10393.807894983585</v>
      </c>
      <c r="H142" s="12">
        <v>5182</v>
      </c>
      <c r="I142" s="12">
        <v>5212</v>
      </c>
      <c r="J142" s="15">
        <v>7.6</v>
      </c>
      <c r="K142" s="15">
        <v>7.8</v>
      </c>
      <c r="L142" s="15">
        <v>8</v>
      </c>
      <c r="M142" s="15">
        <v>7.9</v>
      </c>
      <c r="N142" s="15">
        <v>15.98037329228401</v>
      </c>
      <c r="O142" s="15">
        <v>21.127573600153934</v>
      </c>
      <c r="P142" s="15">
        <v>17.288820473350007</v>
      </c>
      <c r="Q142" s="15">
        <v>4.5999999999999996</v>
      </c>
      <c r="R142" s="15">
        <v>9.6999999999999993</v>
      </c>
      <c r="S142" s="15">
        <v>27.9</v>
      </c>
      <c r="T142" s="15">
        <v>3.4</v>
      </c>
      <c r="U142" s="12">
        <v>-51</v>
      </c>
      <c r="V142" s="12">
        <v>283</v>
      </c>
      <c r="W142" s="15">
        <v>10.1</v>
      </c>
      <c r="X142" s="15">
        <v>9.1</v>
      </c>
      <c r="Y142" s="24">
        <v>44</v>
      </c>
      <c r="Z142" s="19">
        <v>8.1999999999999993</v>
      </c>
      <c r="AA142" s="19">
        <v>4.5999999999999996</v>
      </c>
      <c r="AB142" s="19">
        <v>22</v>
      </c>
      <c r="AC142" s="49">
        <v>5</v>
      </c>
      <c r="AD142" s="27">
        <v>5</v>
      </c>
      <c r="AE142" s="27">
        <v>4</v>
      </c>
      <c r="AF142" s="31">
        <v>2.4</v>
      </c>
      <c r="AG142" s="15">
        <v>63.885188325057527</v>
      </c>
      <c r="AH142" s="44">
        <v>18</v>
      </c>
      <c r="AI142" s="44">
        <v>15.7</v>
      </c>
      <c r="AJ142" s="44">
        <v>78</v>
      </c>
      <c r="AK142" s="44">
        <v>14.6</v>
      </c>
      <c r="AL142" s="44">
        <v>12</v>
      </c>
      <c r="AM142" s="44">
        <v>56</v>
      </c>
      <c r="AN142" s="19"/>
      <c r="AO142" s="19"/>
      <c r="AP142" s="84">
        <v>0</v>
      </c>
      <c r="AQ142" s="60">
        <v>24153</v>
      </c>
      <c r="AR142" s="60">
        <v>13469</v>
      </c>
      <c r="AS142" s="60">
        <v>8473</v>
      </c>
      <c r="AT142" s="60">
        <v>41506</v>
      </c>
      <c r="AU142" s="24">
        <v>52959</v>
      </c>
      <c r="AV142" s="60">
        <v>7829.5655280752644</v>
      </c>
      <c r="AW142" s="24">
        <v>21288</v>
      </c>
      <c r="AX142" s="24">
        <v>15049</v>
      </c>
      <c r="AY142" s="60">
        <v>4268</v>
      </c>
      <c r="AZ142" s="60">
        <v>0</v>
      </c>
    </row>
    <row r="143" spans="1:52">
      <c r="A143" s="3" t="s">
        <v>141</v>
      </c>
      <c r="B143" s="7" t="s">
        <v>263</v>
      </c>
      <c r="C143" s="7" t="s">
        <v>260</v>
      </c>
      <c r="D143" s="15">
        <v>9.3062605752961094</v>
      </c>
      <c r="E143" s="15">
        <v>29.96</v>
      </c>
      <c r="F143" s="15">
        <v>99.5</v>
      </c>
      <c r="G143" s="12">
        <v>3499.8243338275988</v>
      </c>
      <c r="H143" s="12">
        <v>1757</v>
      </c>
      <c r="I143" s="12">
        <v>1743</v>
      </c>
      <c r="J143" s="15">
        <v>7.6</v>
      </c>
      <c r="K143" s="15">
        <v>7.2</v>
      </c>
      <c r="L143" s="15">
        <v>7.1</v>
      </c>
      <c r="M143" s="15">
        <v>6.7</v>
      </c>
      <c r="N143" s="15">
        <v>15.542857142857141</v>
      </c>
      <c r="O143" s="15">
        <v>21.028571428571428</v>
      </c>
      <c r="P143" s="15">
        <v>16.37142857142857</v>
      </c>
      <c r="Q143" s="15">
        <v>4.9000000000000004</v>
      </c>
      <c r="R143" s="15">
        <v>13.5</v>
      </c>
      <c r="S143" s="15">
        <v>25.8</v>
      </c>
      <c r="T143" s="15">
        <v>4.5999999999999996</v>
      </c>
      <c r="U143" s="12">
        <v>-1</v>
      </c>
      <c r="V143" s="12">
        <v>57</v>
      </c>
      <c r="W143" s="15">
        <v>6.1</v>
      </c>
      <c r="X143" s="15">
        <v>5.8</v>
      </c>
      <c r="Y143" s="24">
        <v>27</v>
      </c>
      <c r="Z143" s="19">
        <v>1.6</v>
      </c>
      <c r="AA143" s="19">
        <v>1.6</v>
      </c>
      <c r="AB143" s="19">
        <v>9</v>
      </c>
      <c r="AC143" s="49">
        <v>6</v>
      </c>
      <c r="AD143" s="27">
        <v>6</v>
      </c>
      <c r="AE143" s="27">
        <v>3</v>
      </c>
      <c r="AF143" s="31">
        <v>0.1</v>
      </c>
      <c r="AG143" s="15">
        <v>35.232774674115461</v>
      </c>
      <c r="AH143" s="44">
        <v>4.7</v>
      </c>
      <c r="AI143" s="44">
        <v>4.5</v>
      </c>
      <c r="AJ143" s="44">
        <v>27</v>
      </c>
      <c r="AK143" s="44">
        <v>7</v>
      </c>
      <c r="AL143" s="44">
        <v>6.3</v>
      </c>
      <c r="AM143" s="44">
        <v>43</v>
      </c>
      <c r="AN143" s="19"/>
      <c r="AO143" s="19"/>
      <c r="AP143" s="84">
        <v>0</v>
      </c>
      <c r="AQ143" s="60">
        <v>6813</v>
      </c>
      <c r="AR143" s="60">
        <v>3865</v>
      </c>
      <c r="AS143" s="60">
        <v>3264</v>
      </c>
      <c r="AT143" s="60">
        <v>4588</v>
      </c>
      <c r="AU143" s="24">
        <v>20471</v>
      </c>
      <c r="AV143" s="60">
        <v>7875.5381330398377</v>
      </c>
      <c r="AW143" s="24">
        <v>5303</v>
      </c>
      <c r="AX143" s="24">
        <v>4707</v>
      </c>
      <c r="AY143" s="60">
        <v>491</v>
      </c>
      <c r="AZ143" s="60">
        <v>0</v>
      </c>
    </row>
    <row r="144" spans="1:52">
      <c r="A144" s="3" t="s">
        <v>142</v>
      </c>
      <c r="B144" s="7" t="s">
        <v>263</v>
      </c>
      <c r="C144" s="7" t="s">
        <v>260</v>
      </c>
      <c r="D144" s="15">
        <v>13.518164435946462</v>
      </c>
      <c r="E144" s="15">
        <v>13.08</v>
      </c>
      <c r="F144" s="15">
        <v>99.9</v>
      </c>
      <c r="G144" s="12">
        <v>24108.192477953886</v>
      </c>
      <c r="H144" s="12">
        <v>12310</v>
      </c>
      <c r="I144" s="12">
        <v>11799</v>
      </c>
      <c r="J144" s="15">
        <v>10</v>
      </c>
      <c r="K144" s="15">
        <v>9.6999999999999993</v>
      </c>
      <c r="L144" s="15">
        <v>9.6</v>
      </c>
      <c r="M144" s="15">
        <v>9.9</v>
      </c>
      <c r="N144" s="15">
        <v>18.819479011116641</v>
      </c>
      <c r="O144" s="15">
        <v>18.226314916210388</v>
      </c>
      <c r="P144" s="15">
        <v>14.621702339472375</v>
      </c>
      <c r="Q144" s="15">
        <v>3.3</v>
      </c>
      <c r="R144" s="15">
        <v>5.8</v>
      </c>
      <c r="S144" s="15">
        <v>35.1</v>
      </c>
      <c r="T144" s="15">
        <v>1.9</v>
      </c>
      <c r="U144" s="12">
        <v>28</v>
      </c>
      <c r="V144" s="12">
        <v>399</v>
      </c>
      <c r="W144" s="15">
        <v>52</v>
      </c>
      <c r="X144" s="15">
        <v>28.3</v>
      </c>
      <c r="Y144" s="24">
        <v>111</v>
      </c>
      <c r="Z144" s="19">
        <v>29.6</v>
      </c>
      <c r="AA144" s="19">
        <v>21.9</v>
      </c>
      <c r="AB144" s="19">
        <v>87</v>
      </c>
      <c r="AC144" s="49">
        <v>3</v>
      </c>
      <c r="AD144" s="27">
        <v>2</v>
      </c>
      <c r="AE144" s="27">
        <v>4</v>
      </c>
      <c r="AF144" s="31">
        <v>1.7</v>
      </c>
      <c r="AG144" s="15">
        <v>52.528815267367889</v>
      </c>
      <c r="AH144" s="44">
        <v>26.3</v>
      </c>
      <c r="AI144" s="44">
        <v>24.6</v>
      </c>
      <c r="AJ144" s="44">
        <v>93</v>
      </c>
      <c r="AK144" s="44">
        <v>33.299999999999997</v>
      </c>
      <c r="AL144" s="44">
        <v>29.1</v>
      </c>
      <c r="AM144" s="44">
        <v>124</v>
      </c>
      <c r="AN144" s="19"/>
      <c r="AO144" s="19"/>
      <c r="AP144" s="84">
        <v>0</v>
      </c>
      <c r="AQ144" s="60">
        <v>51520</v>
      </c>
      <c r="AR144" s="60">
        <v>25078</v>
      </c>
      <c r="AS144" s="60">
        <v>16031</v>
      </c>
      <c r="AT144" s="60">
        <v>31177.5</v>
      </c>
      <c r="AU144" s="24">
        <v>97969</v>
      </c>
      <c r="AV144" s="60">
        <v>6291.927532050051</v>
      </c>
      <c r="AW144" s="24">
        <v>55194.1</v>
      </c>
      <c r="AX144" s="24">
        <v>40177</v>
      </c>
      <c r="AY144" s="60">
        <v>4059</v>
      </c>
      <c r="AZ144" s="60">
        <v>10109</v>
      </c>
    </row>
    <row r="145" spans="1:52">
      <c r="A145" s="3" t="s">
        <v>143</v>
      </c>
      <c r="B145" s="7" t="s">
        <v>263</v>
      </c>
      <c r="C145" s="7" t="s">
        <v>260</v>
      </c>
      <c r="D145" s="15">
        <v>10.496391865296305</v>
      </c>
      <c r="E145" s="15">
        <v>11.83</v>
      </c>
      <c r="F145" s="15">
        <v>100</v>
      </c>
      <c r="G145" s="12">
        <v>21472.681336735808</v>
      </c>
      <c r="H145" s="12">
        <v>11236</v>
      </c>
      <c r="I145" s="12">
        <v>10237</v>
      </c>
      <c r="J145" s="15">
        <v>10.8</v>
      </c>
      <c r="K145" s="15">
        <v>10.6</v>
      </c>
      <c r="L145" s="15">
        <v>9.9</v>
      </c>
      <c r="M145" s="15">
        <v>9.6999999999999993</v>
      </c>
      <c r="N145" s="15">
        <v>20.053089926884926</v>
      </c>
      <c r="O145" s="15">
        <v>19.452335491081822</v>
      </c>
      <c r="P145" s="15">
        <v>12.792809574814884</v>
      </c>
      <c r="Q145" s="15">
        <v>2.6</v>
      </c>
      <c r="R145" s="15">
        <v>4.0999999999999996</v>
      </c>
      <c r="S145" s="15">
        <v>36.9</v>
      </c>
      <c r="T145" s="15">
        <v>1.4</v>
      </c>
      <c r="U145" s="12">
        <v>23</v>
      </c>
      <c r="V145" s="12">
        <v>402</v>
      </c>
      <c r="W145" s="15">
        <v>29.7</v>
      </c>
      <c r="X145" s="15">
        <v>25</v>
      </c>
      <c r="Y145" s="24">
        <v>112</v>
      </c>
      <c r="Z145" s="19">
        <v>10.7</v>
      </c>
      <c r="AA145" s="19">
        <v>10.199999999999999</v>
      </c>
      <c r="AB145" s="19">
        <v>46</v>
      </c>
      <c r="AC145" s="49">
        <v>2</v>
      </c>
      <c r="AD145" s="27">
        <v>2</v>
      </c>
      <c r="AE145" s="27">
        <v>4</v>
      </c>
      <c r="AF145" s="31">
        <v>0.3</v>
      </c>
      <c r="AG145" s="15">
        <v>65.164291945332948</v>
      </c>
      <c r="AH145" s="44">
        <v>33.200000000000003</v>
      </c>
      <c r="AI145" s="44">
        <v>32</v>
      </c>
      <c r="AJ145" s="44">
        <v>173</v>
      </c>
      <c r="AK145" s="44">
        <v>44.9</v>
      </c>
      <c r="AL145" s="44">
        <v>42.7</v>
      </c>
      <c r="AM145" s="44">
        <v>245</v>
      </c>
      <c r="AN145" s="19"/>
      <c r="AO145" s="19"/>
      <c r="AP145" s="84">
        <v>0</v>
      </c>
      <c r="AQ145" s="60">
        <v>32612</v>
      </c>
      <c r="AR145" s="60">
        <v>17253</v>
      </c>
      <c r="AS145" s="60">
        <v>12133</v>
      </c>
      <c r="AT145" s="60">
        <v>22983.4869</v>
      </c>
      <c r="AU145" s="24">
        <v>123702</v>
      </c>
      <c r="AV145" s="60">
        <v>7334.4822442161367</v>
      </c>
      <c r="AW145" s="24">
        <v>35420.8292</v>
      </c>
      <c r="AX145" s="24">
        <v>28127.4869</v>
      </c>
      <c r="AY145" s="60">
        <v>4555.4998999999998</v>
      </c>
      <c r="AZ145" s="60">
        <v>1104.3900000000001</v>
      </c>
    </row>
    <row r="146" spans="1:52">
      <c r="A146" s="3" t="s">
        <v>144</v>
      </c>
      <c r="B146" s="7" t="s">
        <v>263</v>
      </c>
      <c r="C146" s="7" t="s">
        <v>260</v>
      </c>
      <c r="D146" s="15">
        <v>11.969681019054637</v>
      </c>
      <c r="E146" s="15">
        <v>20.92</v>
      </c>
      <c r="F146" s="15">
        <v>99.9</v>
      </c>
      <c r="G146" s="12">
        <v>20017.905195024599</v>
      </c>
      <c r="H146" s="12">
        <v>10129</v>
      </c>
      <c r="I146" s="12">
        <v>9889</v>
      </c>
      <c r="J146" s="15">
        <v>9</v>
      </c>
      <c r="K146" s="15">
        <v>8.8000000000000007</v>
      </c>
      <c r="L146" s="15">
        <v>9.1</v>
      </c>
      <c r="M146" s="15">
        <v>9</v>
      </c>
      <c r="N146" s="15">
        <v>17.69407533220102</v>
      </c>
      <c r="O146" s="15">
        <v>20.151863323009291</v>
      </c>
      <c r="P146" s="15">
        <v>15.785792786492156</v>
      </c>
      <c r="Q146" s="15">
        <v>3.9</v>
      </c>
      <c r="R146" s="15">
        <v>6.6</v>
      </c>
      <c r="S146" s="15">
        <v>32.200000000000003</v>
      </c>
      <c r="T146" s="15">
        <v>2.2999999999999998</v>
      </c>
      <c r="U146" s="12">
        <v>45</v>
      </c>
      <c r="V146" s="12">
        <v>407</v>
      </c>
      <c r="W146" s="15">
        <v>13.4</v>
      </c>
      <c r="X146" s="15">
        <v>8.8000000000000007</v>
      </c>
      <c r="Y146" s="24">
        <v>42</v>
      </c>
      <c r="Z146" s="19">
        <v>3.3</v>
      </c>
      <c r="AA146" s="19">
        <v>2.7</v>
      </c>
      <c r="AB146" s="19">
        <v>14</v>
      </c>
      <c r="AC146" s="49">
        <v>5</v>
      </c>
      <c r="AD146" s="27">
        <v>5</v>
      </c>
      <c r="AE146" s="27">
        <v>5</v>
      </c>
      <c r="AF146" s="31">
        <v>0.8</v>
      </c>
      <c r="AG146" s="15">
        <v>62.206042955951943</v>
      </c>
      <c r="AH146" s="44">
        <v>11.8</v>
      </c>
      <c r="AI146" s="44">
        <v>10.4</v>
      </c>
      <c r="AJ146" s="44">
        <v>47</v>
      </c>
      <c r="AK146" s="44">
        <v>16.5</v>
      </c>
      <c r="AL146" s="44">
        <v>15.6</v>
      </c>
      <c r="AM146" s="44">
        <v>63</v>
      </c>
      <c r="AN146" s="19"/>
      <c r="AO146" s="19"/>
      <c r="AP146" s="84">
        <v>0</v>
      </c>
      <c r="AQ146" s="60">
        <v>42474</v>
      </c>
      <c r="AR146" s="60">
        <v>29224</v>
      </c>
      <c r="AS146" s="60">
        <v>23659</v>
      </c>
      <c r="AT146" s="60">
        <v>47106.298900000002</v>
      </c>
      <c r="AU146" s="24">
        <v>89990</v>
      </c>
      <c r="AV146" s="60">
        <v>6615.8770715387664</v>
      </c>
      <c r="AW146" s="24">
        <v>37103.557999999997</v>
      </c>
      <c r="AX146" s="24">
        <v>30861.298900000002</v>
      </c>
      <c r="AY146" s="60">
        <v>3764.8081000000002</v>
      </c>
      <c r="AZ146" s="60">
        <v>1272.6524999999999</v>
      </c>
    </row>
    <row r="147" spans="1:52">
      <c r="A147" s="3" t="s">
        <v>145</v>
      </c>
      <c r="B147" s="7" t="s">
        <v>263</v>
      </c>
      <c r="C147" s="7" t="s">
        <v>261</v>
      </c>
      <c r="D147" s="15">
        <v>15.625</v>
      </c>
      <c r="E147" s="15">
        <v>53.3</v>
      </c>
      <c r="F147" s="15" t="s">
        <v>280</v>
      </c>
      <c r="G147" s="12">
        <v>1950.9260495413607</v>
      </c>
      <c r="H147" s="12">
        <v>958</v>
      </c>
      <c r="I147" s="12">
        <v>993</v>
      </c>
      <c r="J147" s="15">
        <v>4.5999999999999996</v>
      </c>
      <c r="K147" s="15">
        <v>7.1</v>
      </c>
      <c r="L147" s="15">
        <v>7.6</v>
      </c>
      <c r="M147" s="15">
        <v>8.6999999999999993</v>
      </c>
      <c r="N147" s="15">
        <v>11.788826242952332</v>
      </c>
      <c r="O147" s="15">
        <v>11.481291645310097</v>
      </c>
      <c r="P147" s="15">
        <v>19.887237314197847</v>
      </c>
      <c r="Q147" s="15">
        <v>5.7</v>
      </c>
      <c r="R147" s="15">
        <v>23.1</v>
      </c>
      <c r="S147" s="15">
        <v>24.2</v>
      </c>
      <c r="T147" s="15">
        <v>11.6</v>
      </c>
      <c r="U147" s="12">
        <v>4</v>
      </c>
      <c r="V147" s="12">
        <v>16</v>
      </c>
      <c r="W147" s="15">
        <v>2.4</v>
      </c>
      <c r="X147" s="15">
        <v>2.4</v>
      </c>
      <c r="Y147" s="24">
        <v>5</v>
      </c>
      <c r="Z147" s="19">
        <v>1.7</v>
      </c>
      <c r="AA147" s="19">
        <v>1.7</v>
      </c>
      <c r="AB147" s="19">
        <v>4</v>
      </c>
      <c r="AC147" s="49">
        <v>10</v>
      </c>
      <c r="AD147" s="27">
        <v>10</v>
      </c>
      <c r="AE147" s="27">
        <v>8</v>
      </c>
      <c r="AF147" s="31">
        <v>0.4</v>
      </c>
      <c r="AG147" s="15">
        <v>64.117043121149891</v>
      </c>
      <c r="AH147" s="44">
        <v>2.9</v>
      </c>
      <c r="AI147" s="44">
        <v>2.9</v>
      </c>
      <c r="AJ147" s="44">
        <v>8</v>
      </c>
      <c r="AK147" s="44">
        <v>8.5</v>
      </c>
      <c r="AL147" s="44">
        <v>8.5</v>
      </c>
      <c r="AM147" s="44">
        <v>18</v>
      </c>
      <c r="AN147" s="19"/>
      <c r="AO147" s="19"/>
      <c r="AP147" s="84">
        <v>0</v>
      </c>
      <c r="AQ147" s="60">
        <v>35989</v>
      </c>
      <c r="AR147" s="60">
        <v>20999</v>
      </c>
      <c r="AS147" s="60">
        <v>16596</v>
      </c>
      <c r="AT147" s="60">
        <v>17282</v>
      </c>
      <c r="AU147" s="24">
        <v>2897</v>
      </c>
      <c r="AV147" s="60">
        <v>19260.084209154636</v>
      </c>
      <c r="AW147" s="24">
        <v>22005</v>
      </c>
      <c r="AX147" s="24">
        <v>16227</v>
      </c>
      <c r="AY147" s="60">
        <v>3470</v>
      </c>
      <c r="AZ147" s="60">
        <v>0</v>
      </c>
    </row>
    <row r="148" spans="1:52">
      <c r="A148" s="3" t="s">
        <v>146</v>
      </c>
      <c r="B148" s="7" t="s">
        <v>263</v>
      </c>
      <c r="C148" s="7" t="s">
        <v>261</v>
      </c>
      <c r="D148" s="15">
        <v>12.950296397628819</v>
      </c>
      <c r="E148" s="15">
        <v>57.55</v>
      </c>
      <c r="F148" s="15" t="s">
        <v>280</v>
      </c>
      <c r="G148" s="12">
        <v>4410.3248671751026</v>
      </c>
      <c r="H148" s="12">
        <v>2196</v>
      </c>
      <c r="I148" s="12">
        <v>2214</v>
      </c>
      <c r="J148" s="15">
        <v>6</v>
      </c>
      <c r="K148" s="15">
        <v>8.6999999999999993</v>
      </c>
      <c r="L148" s="15">
        <v>10.199999999999999</v>
      </c>
      <c r="M148" s="15">
        <v>8.9</v>
      </c>
      <c r="N148" s="15">
        <v>12.51700680272109</v>
      </c>
      <c r="O148" s="15">
        <v>14.988662131519273</v>
      </c>
      <c r="P148" s="15">
        <v>19.455782312925169</v>
      </c>
      <c r="Q148" s="15">
        <v>5.2</v>
      </c>
      <c r="R148" s="15">
        <v>14</v>
      </c>
      <c r="S148" s="15">
        <v>30.3</v>
      </c>
      <c r="T148" s="15">
        <v>4</v>
      </c>
      <c r="U148" s="12">
        <v>-42</v>
      </c>
      <c r="V148" s="12">
        <v>119</v>
      </c>
      <c r="W148" s="15">
        <v>6.2</v>
      </c>
      <c r="X148" s="15">
        <v>6</v>
      </c>
      <c r="Y148" s="24">
        <v>22</v>
      </c>
      <c r="Z148" s="19">
        <v>2.1</v>
      </c>
      <c r="AA148" s="19">
        <v>1.9</v>
      </c>
      <c r="AB148" s="19">
        <v>5</v>
      </c>
      <c r="AC148" s="49">
        <v>8</v>
      </c>
      <c r="AD148" s="27">
        <v>8</v>
      </c>
      <c r="AE148" s="27">
        <v>3</v>
      </c>
      <c r="AF148" s="31">
        <v>0.6</v>
      </c>
      <c r="AG148" s="15">
        <v>69.878152451119306</v>
      </c>
      <c r="AH148" s="44">
        <v>22.4</v>
      </c>
      <c r="AI148" s="44">
        <v>13.1</v>
      </c>
      <c r="AJ148" s="44">
        <v>56</v>
      </c>
      <c r="AK148" s="44">
        <v>16.3</v>
      </c>
      <c r="AL148" s="44">
        <v>15.8</v>
      </c>
      <c r="AM148" s="44">
        <v>65</v>
      </c>
      <c r="AN148" s="19"/>
      <c r="AO148" s="19"/>
      <c r="AP148" s="84">
        <v>0</v>
      </c>
      <c r="AQ148" s="60">
        <v>30318</v>
      </c>
      <c r="AR148" s="60">
        <v>16778</v>
      </c>
      <c r="AS148" s="60">
        <v>11166</v>
      </c>
      <c r="AT148" s="60">
        <v>11879.691989999999</v>
      </c>
      <c r="AU148" s="24">
        <v>11287</v>
      </c>
      <c r="AV148" s="60">
        <v>9443.975501668263</v>
      </c>
      <c r="AW148" s="24">
        <v>18277.086910000002</v>
      </c>
      <c r="AX148" s="24">
        <v>12561.287</v>
      </c>
      <c r="AY148" s="60">
        <v>3022.0630000000001</v>
      </c>
      <c r="AZ148" s="60">
        <v>373.49400000000003</v>
      </c>
    </row>
    <row r="149" spans="1:52">
      <c r="A149" s="3" t="s">
        <v>147</v>
      </c>
      <c r="B149" s="7" t="s">
        <v>263</v>
      </c>
      <c r="C149" s="7" t="s">
        <v>261</v>
      </c>
      <c r="D149" s="15">
        <v>11.213762344695763</v>
      </c>
      <c r="E149" s="15">
        <v>71.08</v>
      </c>
      <c r="F149" s="15">
        <v>4.4000000000000004</v>
      </c>
      <c r="G149" s="12">
        <v>7218.9138997296113</v>
      </c>
      <c r="H149" s="12">
        <v>3535</v>
      </c>
      <c r="I149" s="12">
        <v>3684</v>
      </c>
      <c r="J149" s="15">
        <v>6</v>
      </c>
      <c r="K149" s="15">
        <v>7.6</v>
      </c>
      <c r="L149" s="15">
        <v>8.4</v>
      </c>
      <c r="M149" s="15">
        <v>8.4</v>
      </c>
      <c r="N149" s="15">
        <v>13.810777115944036</v>
      </c>
      <c r="O149" s="15">
        <v>14.087823798310014</v>
      </c>
      <c r="P149" s="15">
        <v>18.769912730295054</v>
      </c>
      <c r="Q149" s="15">
        <v>5</v>
      </c>
      <c r="R149" s="15">
        <v>17.899999999999999</v>
      </c>
      <c r="S149" s="15">
        <v>27</v>
      </c>
      <c r="T149" s="15">
        <v>7.4</v>
      </c>
      <c r="U149" s="12">
        <v>176</v>
      </c>
      <c r="V149" s="12">
        <v>104</v>
      </c>
      <c r="W149" s="15">
        <v>16.100000000000001</v>
      </c>
      <c r="X149" s="15">
        <v>16.100000000000001</v>
      </c>
      <c r="Y149" s="24">
        <v>58</v>
      </c>
      <c r="Z149" s="19">
        <v>25.6</v>
      </c>
      <c r="AA149" s="19">
        <v>25.6</v>
      </c>
      <c r="AB149" s="19">
        <v>97</v>
      </c>
      <c r="AC149" s="49">
        <v>9</v>
      </c>
      <c r="AD149" s="27">
        <v>10</v>
      </c>
      <c r="AE149" s="27">
        <v>3</v>
      </c>
      <c r="AF149" s="31">
        <v>0</v>
      </c>
      <c r="AG149" s="15">
        <v>70.786516853932582</v>
      </c>
      <c r="AH149" s="44">
        <v>5.8</v>
      </c>
      <c r="AI149" s="44">
        <v>5.8</v>
      </c>
      <c r="AJ149" s="44">
        <v>21</v>
      </c>
      <c r="AK149" s="44">
        <v>14.8</v>
      </c>
      <c r="AL149" s="44">
        <v>14.8</v>
      </c>
      <c r="AM149" s="44">
        <v>54</v>
      </c>
      <c r="AN149" s="19"/>
      <c r="AO149" s="19"/>
      <c r="AP149" s="84">
        <v>0</v>
      </c>
      <c r="AQ149" s="60">
        <v>44702</v>
      </c>
      <c r="AR149" s="60">
        <v>24971</v>
      </c>
      <c r="AS149" s="60">
        <v>21855</v>
      </c>
      <c r="AT149" s="60">
        <v>23084</v>
      </c>
      <c r="AU149" s="24">
        <v>11751</v>
      </c>
      <c r="AV149" s="60">
        <v>7818.7662000116261</v>
      </c>
      <c r="AW149" s="24">
        <v>27137.419000000002</v>
      </c>
      <c r="AX149" s="24">
        <v>24268</v>
      </c>
      <c r="AY149" s="60">
        <v>1975.21</v>
      </c>
      <c r="AZ149" s="60">
        <v>0</v>
      </c>
    </row>
    <row r="150" spans="1:52">
      <c r="A150" s="3" t="s">
        <v>148</v>
      </c>
      <c r="B150" s="7" t="s">
        <v>263</v>
      </c>
      <c r="C150" s="7" t="s">
        <v>260</v>
      </c>
      <c r="D150" s="15">
        <v>15.502870902018891</v>
      </c>
      <c r="E150" s="15">
        <v>11.7</v>
      </c>
      <c r="F150" s="15">
        <v>99.9</v>
      </c>
      <c r="G150" s="12">
        <v>16010.775736593596</v>
      </c>
      <c r="H150" s="12">
        <v>8038</v>
      </c>
      <c r="I150" s="12">
        <v>7973</v>
      </c>
      <c r="J150" s="15">
        <v>17</v>
      </c>
      <c r="K150" s="15">
        <v>13.9</v>
      </c>
      <c r="L150" s="15">
        <v>11.8</v>
      </c>
      <c r="M150" s="15">
        <v>11.4</v>
      </c>
      <c r="N150" s="15">
        <v>17.65661107988258</v>
      </c>
      <c r="O150" s="15">
        <v>14.939728936356255</v>
      </c>
      <c r="P150" s="15">
        <v>9.3373305852226594</v>
      </c>
      <c r="Q150" s="15">
        <v>1.5</v>
      </c>
      <c r="R150" s="15">
        <v>2.5</v>
      </c>
      <c r="S150" s="15">
        <v>49.6</v>
      </c>
      <c r="T150" s="15">
        <v>1</v>
      </c>
      <c r="U150" s="12">
        <v>24</v>
      </c>
      <c r="V150" s="12">
        <v>273</v>
      </c>
      <c r="W150" s="15">
        <v>8.3000000000000007</v>
      </c>
      <c r="X150" s="15">
        <v>5.9</v>
      </c>
      <c r="Y150" s="24">
        <v>21</v>
      </c>
      <c r="Z150" s="19">
        <v>11.4</v>
      </c>
      <c r="AA150" s="19">
        <v>10.7</v>
      </c>
      <c r="AB150" s="19">
        <v>43</v>
      </c>
      <c r="AC150" s="49">
        <v>2</v>
      </c>
      <c r="AD150" s="27">
        <v>1</v>
      </c>
      <c r="AE150" s="27">
        <v>3</v>
      </c>
      <c r="AF150" s="31">
        <v>0</v>
      </c>
      <c r="AG150" s="15">
        <v>47.45704071041402</v>
      </c>
      <c r="AH150" s="44">
        <v>5.2</v>
      </c>
      <c r="AI150" s="44">
        <v>4.0999999999999996</v>
      </c>
      <c r="AJ150" s="44">
        <v>17</v>
      </c>
      <c r="AK150" s="44">
        <v>3</v>
      </c>
      <c r="AL150" s="44">
        <v>3</v>
      </c>
      <c r="AM150" s="44">
        <v>15</v>
      </c>
      <c r="AN150" s="19"/>
      <c r="AO150" s="19"/>
      <c r="AP150" s="84">
        <v>0</v>
      </c>
      <c r="AQ150" s="60">
        <v>10212</v>
      </c>
      <c r="AR150" s="60">
        <v>3158</v>
      </c>
      <c r="AS150" s="60">
        <v>2679</v>
      </c>
      <c r="AT150" s="60">
        <v>8459</v>
      </c>
      <c r="AU150" s="24">
        <v>95076</v>
      </c>
      <c r="AV150" s="60">
        <v>6491.0034160600253</v>
      </c>
      <c r="AW150" s="24">
        <v>7479</v>
      </c>
      <c r="AX150" s="24">
        <v>6653</v>
      </c>
      <c r="AY150" s="60">
        <v>753</v>
      </c>
      <c r="AZ150" s="60">
        <v>8</v>
      </c>
    </row>
    <row r="151" spans="1:52">
      <c r="A151" s="3" t="s">
        <v>149</v>
      </c>
      <c r="B151" s="7" t="s">
        <v>263</v>
      </c>
      <c r="C151" s="7" t="s">
        <v>261</v>
      </c>
      <c r="D151" s="15">
        <v>14.241182757392234</v>
      </c>
      <c r="E151" s="15">
        <v>45.74</v>
      </c>
      <c r="F151" s="15" t="s">
        <v>280</v>
      </c>
      <c r="G151" s="12">
        <v>25486.781638450226</v>
      </c>
      <c r="H151" s="12">
        <v>12543</v>
      </c>
      <c r="I151" s="12">
        <v>12943</v>
      </c>
      <c r="J151" s="15">
        <v>8.1</v>
      </c>
      <c r="K151" s="15">
        <v>7.7</v>
      </c>
      <c r="L151" s="15">
        <v>7.6</v>
      </c>
      <c r="M151" s="15">
        <v>7.1</v>
      </c>
      <c r="N151" s="15">
        <v>12.539726134892298</v>
      </c>
      <c r="O151" s="15">
        <v>18.217130301722449</v>
      </c>
      <c r="P151" s="15">
        <v>16.271040138109623</v>
      </c>
      <c r="Q151" s="15">
        <v>5.5</v>
      </c>
      <c r="R151" s="15">
        <v>16.899999999999999</v>
      </c>
      <c r="S151" s="15">
        <v>27.9</v>
      </c>
      <c r="T151" s="15">
        <v>6.7</v>
      </c>
      <c r="U151" s="12">
        <v>239</v>
      </c>
      <c r="V151" s="12">
        <v>504</v>
      </c>
      <c r="W151" s="15">
        <v>41.5</v>
      </c>
      <c r="X151" s="15">
        <v>33.5</v>
      </c>
      <c r="Y151" s="24">
        <v>203</v>
      </c>
      <c r="Z151" s="19">
        <v>66.099999999999994</v>
      </c>
      <c r="AA151" s="19">
        <v>20.6</v>
      </c>
      <c r="AB151" s="19">
        <v>85</v>
      </c>
      <c r="AC151" s="49">
        <v>8</v>
      </c>
      <c r="AD151" s="27">
        <v>8</v>
      </c>
      <c r="AE151" s="27">
        <v>6</v>
      </c>
      <c r="AF151" s="31">
        <v>0.3</v>
      </c>
      <c r="AG151" s="15">
        <v>71.328777524677307</v>
      </c>
      <c r="AH151" s="44">
        <v>39.5</v>
      </c>
      <c r="AI151" s="44">
        <v>7.9</v>
      </c>
      <c r="AJ151" s="44">
        <v>36</v>
      </c>
      <c r="AK151" s="44">
        <v>13</v>
      </c>
      <c r="AL151" s="44">
        <v>11.5</v>
      </c>
      <c r="AM151" s="44">
        <v>59</v>
      </c>
      <c r="AN151" s="19"/>
      <c r="AO151" s="19"/>
      <c r="AP151" s="84">
        <v>0</v>
      </c>
      <c r="AQ151" s="60">
        <v>111832</v>
      </c>
      <c r="AR151" s="60">
        <v>84319</v>
      </c>
      <c r="AS151" s="60">
        <v>64734</v>
      </c>
      <c r="AT151" s="60">
        <v>80817.939400000003</v>
      </c>
      <c r="AU151" s="24">
        <v>56094</v>
      </c>
      <c r="AV151" s="60">
        <v>6585.0213016618954</v>
      </c>
      <c r="AW151" s="24">
        <v>93646.224399999905</v>
      </c>
      <c r="AX151" s="24">
        <v>72809.939400000003</v>
      </c>
      <c r="AY151" s="60">
        <v>17716.017899999901</v>
      </c>
      <c r="AZ151" s="60">
        <v>589.31610000000001</v>
      </c>
    </row>
    <row r="152" spans="1:52">
      <c r="A152" s="3" t="s">
        <v>150</v>
      </c>
      <c r="B152" s="7" t="s">
        <v>263</v>
      </c>
      <c r="C152" s="7" t="s">
        <v>260</v>
      </c>
      <c r="D152" s="15">
        <v>12.417508417508417</v>
      </c>
      <c r="E152" s="15">
        <v>12.04</v>
      </c>
      <c r="F152" s="15">
        <v>99.9</v>
      </c>
      <c r="G152" s="12">
        <v>15777.422658708741</v>
      </c>
      <c r="H152" s="12">
        <v>8060</v>
      </c>
      <c r="I152" s="12">
        <v>7717</v>
      </c>
      <c r="J152" s="15">
        <v>7.7</v>
      </c>
      <c r="K152" s="15">
        <v>8.3000000000000007</v>
      </c>
      <c r="L152" s="15">
        <v>9.6999999999999993</v>
      </c>
      <c r="M152" s="15">
        <v>10.199999999999999</v>
      </c>
      <c r="N152" s="15">
        <v>18.660074792419344</v>
      </c>
      <c r="O152" s="15">
        <v>19.674209292007351</v>
      </c>
      <c r="P152" s="15">
        <v>16.200798630918424</v>
      </c>
      <c r="Q152" s="15">
        <v>3.4</v>
      </c>
      <c r="R152" s="15">
        <v>6.1</v>
      </c>
      <c r="S152" s="15">
        <v>32.200000000000003</v>
      </c>
      <c r="T152" s="15">
        <v>2.2999999999999998</v>
      </c>
      <c r="U152" s="12">
        <v>-48</v>
      </c>
      <c r="V152" s="12">
        <v>397</v>
      </c>
      <c r="W152" s="15">
        <v>22.9</v>
      </c>
      <c r="X152" s="15">
        <v>14.6</v>
      </c>
      <c r="Y152" s="24">
        <v>64</v>
      </c>
      <c r="Z152" s="19">
        <v>3.5</v>
      </c>
      <c r="AA152" s="19">
        <v>3.4</v>
      </c>
      <c r="AB152" s="19">
        <v>17</v>
      </c>
      <c r="AC152" s="49">
        <v>3</v>
      </c>
      <c r="AD152" s="27">
        <v>3</v>
      </c>
      <c r="AE152" s="27">
        <v>4</v>
      </c>
      <c r="AF152" s="31">
        <v>0.2</v>
      </c>
      <c r="AG152" s="15">
        <v>66.687846056095125</v>
      </c>
      <c r="AH152" s="44">
        <v>4.5999999999999996</v>
      </c>
      <c r="AI152" s="44">
        <v>3.9</v>
      </c>
      <c r="AJ152" s="44">
        <v>17</v>
      </c>
      <c r="AK152" s="44">
        <v>2.6</v>
      </c>
      <c r="AL152" s="44">
        <v>2.2000000000000002</v>
      </c>
      <c r="AM152" s="44">
        <v>8</v>
      </c>
      <c r="AN152" s="19"/>
      <c r="AO152" s="19"/>
      <c r="AP152" s="84">
        <v>0</v>
      </c>
      <c r="AQ152" s="60">
        <v>32774</v>
      </c>
      <c r="AR152" s="60">
        <v>16713</v>
      </c>
      <c r="AS152" s="60">
        <v>11322</v>
      </c>
      <c r="AT152" s="60">
        <v>27403.55</v>
      </c>
      <c r="AU152" s="24">
        <v>82863</v>
      </c>
      <c r="AV152" s="60">
        <v>7323.1225720016337</v>
      </c>
      <c r="AW152" s="24">
        <v>29317.56</v>
      </c>
      <c r="AX152" s="24">
        <v>21292.55</v>
      </c>
      <c r="AY152" s="60">
        <v>5975.2</v>
      </c>
      <c r="AZ152" s="60">
        <v>8.14</v>
      </c>
    </row>
    <row r="153" spans="1:52">
      <c r="A153" s="3" t="s">
        <v>152</v>
      </c>
      <c r="B153" s="7" t="s">
        <v>263</v>
      </c>
      <c r="C153" s="7" t="s">
        <v>260</v>
      </c>
      <c r="D153" s="15">
        <v>13.967611336032389</v>
      </c>
      <c r="E153" s="15">
        <v>22.46</v>
      </c>
      <c r="F153" s="15" t="s">
        <v>280</v>
      </c>
      <c r="G153" s="12">
        <v>11457.579431305687</v>
      </c>
      <c r="H153" s="12">
        <v>5805</v>
      </c>
      <c r="I153" s="12">
        <v>5653</v>
      </c>
      <c r="J153" s="15">
        <v>6.4</v>
      </c>
      <c r="K153" s="15">
        <v>7.5</v>
      </c>
      <c r="L153" s="15">
        <v>8.1999999999999993</v>
      </c>
      <c r="M153" s="15">
        <v>9.1</v>
      </c>
      <c r="N153" s="15">
        <v>16.137196718449992</v>
      </c>
      <c r="O153" s="15">
        <v>19.924943271076977</v>
      </c>
      <c r="P153" s="15">
        <v>20.596962820736604</v>
      </c>
      <c r="Q153" s="15">
        <v>3.9</v>
      </c>
      <c r="R153" s="15">
        <v>8.1999999999999993</v>
      </c>
      <c r="S153" s="15">
        <v>27.7</v>
      </c>
      <c r="T153" s="15">
        <v>3</v>
      </c>
      <c r="U153" s="12">
        <v>-2</v>
      </c>
      <c r="V153" s="12">
        <v>264</v>
      </c>
      <c r="W153" s="15">
        <v>18.7</v>
      </c>
      <c r="X153" s="15">
        <v>12.7</v>
      </c>
      <c r="Y153" s="24">
        <v>51</v>
      </c>
      <c r="Z153" s="19">
        <v>20.2</v>
      </c>
      <c r="AA153" s="19">
        <v>11.8</v>
      </c>
      <c r="AB153" s="19">
        <v>47</v>
      </c>
      <c r="AC153" s="49">
        <v>3</v>
      </c>
      <c r="AD153" s="27">
        <v>6</v>
      </c>
      <c r="AE153" s="27">
        <v>2</v>
      </c>
      <c r="AF153" s="31">
        <v>0.3</v>
      </c>
      <c r="AG153" s="15">
        <v>23.393124065769804</v>
      </c>
      <c r="AH153" s="44">
        <v>13.7</v>
      </c>
      <c r="AI153" s="44">
        <v>9.6999999999999993</v>
      </c>
      <c r="AJ153" s="44">
        <v>49</v>
      </c>
      <c r="AK153" s="44">
        <v>15.8</v>
      </c>
      <c r="AL153" s="44">
        <v>14.4</v>
      </c>
      <c r="AM153" s="44">
        <v>63</v>
      </c>
      <c r="AN153" s="19"/>
      <c r="AO153" s="19"/>
      <c r="AP153" s="84">
        <v>0</v>
      </c>
      <c r="AQ153" s="60">
        <v>17043</v>
      </c>
      <c r="AR153" s="60">
        <v>11786</v>
      </c>
      <c r="AS153" s="60">
        <v>5759</v>
      </c>
      <c r="AT153" s="60">
        <v>7999.8990000000003</v>
      </c>
      <c r="AU153" s="24">
        <v>8981</v>
      </c>
      <c r="AV153" s="60">
        <v>12779.217450255395</v>
      </c>
      <c r="AW153" s="24">
        <v>11743.144</v>
      </c>
      <c r="AX153" s="24">
        <v>6734.8990000000003</v>
      </c>
      <c r="AY153" s="60">
        <v>1266.472</v>
      </c>
      <c r="AZ153" s="60">
        <v>83.260999999999996</v>
      </c>
    </row>
    <row r="154" spans="1:52">
      <c r="A154" s="3" t="s">
        <v>151</v>
      </c>
      <c r="B154" s="7" t="s">
        <v>263</v>
      </c>
      <c r="C154" s="7" t="s">
        <v>261</v>
      </c>
      <c r="D154" s="15">
        <v>12.394993999657125</v>
      </c>
      <c r="E154" s="15">
        <v>10.4</v>
      </c>
      <c r="F154" s="15">
        <v>100</v>
      </c>
      <c r="G154" s="12">
        <v>2030.9537810925431</v>
      </c>
      <c r="H154" s="12">
        <v>1032</v>
      </c>
      <c r="I154" s="12">
        <v>999</v>
      </c>
      <c r="J154" s="15">
        <v>8.3000000000000007</v>
      </c>
      <c r="K154" s="15">
        <v>8.6</v>
      </c>
      <c r="L154" s="15">
        <v>8.1999999999999993</v>
      </c>
      <c r="M154" s="15">
        <v>7.2</v>
      </c>
      <c r="N154" s="15">
        <v>13.638601674052191</v>
      </c>
      <c r="O154" s="15">
        <v>16.937469226981783</v>
      </c>
      <c r="P154" s="15">
        <v>17.282127031019201</v>
      </c>
      <c r="Q154" s="15">
        <v>6.9</v>
      </c>
      <c r="R154" s="15">
        <v>12.8</v>
      </c>
      <c r="S154" s="15">
        <v>29.8</v>
      </c>
      <c r="T154" s="15">
        <v>3.5</v>
      </c>
      <c r="U154" s="12">
        <v>23</v>
      </c>
      <c r="V154" s="12">
        <v>62</v>
      </c>
      <c r="W154" s="15">
        <v>2.6</v>
      </c>
      <c r="X154" s="15">
        <v>2.2000000000000002</v>
      </c>
      <c r="Y154" s="24">
        <v>11</v>
      </c>
      <c r="Z154" s="19">
        <v>3.9</v>
      </c>
      <c r="AA154" s="19">
        <v>3.4</v>
      </c>
      <c r="AB154" s="19">
        <v>39</v>
      </c>
      <c r="AC154" s="49">
        <v>5</v>
      </c>
      <c r="AD154" s="27">
        <v>3</v>
      </c>
      <c r="AE154" s="27">
        <v>1</v>
      </c>
      <c r="AF154" s="31">
        <v>0</v>
      </c>
      <c r="AG154" s="15">
        <v>66.575901974132066</v>
      </c>
      <c r="AH154" s="44">
        <v>6.9</v>
      </c>
      <c r="AI154" s="44">
        <v>6.5</v>
      </c>
      <c r="AJ154" s="44">
        <v>33</v>
      </c>
      <c r="AK154" s="44">
        <v>9.9</v>
      </c>
      <c r="AL154" s="44">
        <v>3.4</v>
      </c>
      <c r="AM154" s="44">
        <v>21</v>
      </c>
      <c r="AN154" s="19"/>
      <c r="AO154" s="19"/>
      <c r="AP154" s="84">
        <v>0</v>
      </c>
      <c r="AQ154" s="60">
        <v>46760</v>
      </c>
      <c r="AR154" s="60">
        <v>13179</v>
      </c>
      <c r="AS154" s="60">
        <v>7570</v>
      </c>
      <c r="AT154" s="60">
        <v>94402</v>
      </c>
      <c r="AU154" s="24">
        <v>49062</v>
      </c>
      <c r="AV154" s="60">
        <v>8361.8883529818995</v>
      </c>
      <c r="AW154" s="24">
        <v>18718.402999999998</v>
      </c>
      <c r="AX154" s="24">
        <v>12087</v>
      </c>
      <c r="AY154" s="60">
        <v>3380.6619999999998</v>
      </c>
      <c r="AZ154" s="60">
        <v>1329</v>
      </c>
    </row>
    <row r="155" spans="1:52">
      <c r="A155" s="3" t="s">
        <v>153</v>
      </c>
      <c r="B155" s="7" t="s">
        <v>263</v>
      </c>
      <c r="C155" s="7" t="s">
        <v>261</v>
      </c>
      <c r="D155" s="15">
        <v>11.858887381275441</v>
      </c>
      <c r="E155" s="15">
        <v>58.19</v>
      </c>
      <c r="F155" s="15" t="s">
        <v>280</v>
      </c>
      <c r="G155" s="12">
        <v>15725.943946840491</v>
      </c>
      <c r="H155" s="12">
        <v>7780</v>
      </c>
      <c r="I155" s="12">
        <v>7946</v>
      </c>
      <c r="J155" s="15">
        <v>6.6</v>
      </c>
      <c r="K155" s="15">
        <v>10.1</v>
      </c>
      <c r="L155" s="15">
        <v>11.5</v>
      </c>
      <c r="M155" s="15">
        <v>9.1</v>
      </c>
      <c r="N155" s="15">
        <v>11.776675569121201</v>
      </c>
      <c r="O155" s="15">
        <v>16.851074653440161</v>
      </c>
      <c r="P155" s="15">
        <v>20.214930688032556</v>
      </c>
      <c r="Q155" s="15">
        <v>3.8</v>
      </c>
      <c r="R155" s="15">
        <v>10.1</v>
      </c>
      <c r="S155" s="15">
        <v>33.799999999999997</v>
      </c>
      <c r="T155" s="15">
        <v>3.5</v>
      </c>
      <c r="U155" s="12">
        <v>174</v>
      </c>
      <c r="V155" s="12">
        <v>295</v>
      </c>
      <c r="W155" s="15">
        <v>10.4</v>
      </c>
      <c r="X155" s="15">
        <v>9.4</v>
      </c>
      <c r="Y155" s="24">
        <v>43</v>
      </c>
      <c r="Z155" s="19">
        <v>17.100000000000001</v>
      </c>
      <c r="AA155" s="19">
        <v>17.100000000000001</v>
      </c>
      <c r="AB155" s="19">
        <v>87</v>
      </c>
      <c r="AC155" s="49">
        <v>8</v>
      </c>
      <c r="AD155" s="27">
        <v>8</v>
      </c>
      <c r="AE155" s="27">
        <v>6</v>
      </c>
      <c r="AF155" s="31">
        <v>0.3</v>
      </c>
      <c r="AG155" s="15">
        <v>75.223194554936796</v>
      </c>
      <c r="AH155" s="44">
        <v>40.5</v>
      </c>
      <c r="AI155" s="44">
        <v>40</v>
      </c>
      <c r="AJ155" s="44">
        <v>256</v>
      </c>
      <c r="AK155" s="44">
        <v>22.8</v>
      </c>
      <c r="AL155" s="44">
        <v>21</v>
      </c>
      <c r="AM155" s="44">
        <v>132</v>
      </c>
      <c r="AN155" s="19"/>
      <c r="AO155" s="19"/>
      <c r="AP155" s="84">
        <v>0</v>
      </c>
      <c r="AQ155" s="60">
        <v>68777</v>
      </c>
      <c r="AR155" s="60">
        <v>47466</v>
      </c>
      <c r="AS155" s="60">
        <v>32268</v>
      </c>
      <c r="AT155" s="60">
        <v>33744.89</v>
      </c>
      <c r="AU155" s="24">
        <v>35692</v>
      </c>
      <c r="AV155" s="60">
        <v>6599.9217821740049</v>
      </c>
      <c r="AW155" s="24">
        <v>50301.55</v>
      </c>
      <c r="AX155" s="24">
        <v>35037.89</v>
      </c>
      <c r="AY155" s="60">
        <v>3469.87</v>
      </c>
      <c r="AZ155" s="60">
        <v>1715.76</v>
      </c>
    </row>
    <row r="156" spans="1:52">
      <c r="A156" s="3" t="s">
        <v>154</v>
      </c>
      <c r="B156" s="7" t="s">
        <v>263</v>
      </c>
      <c r="C156" s="7" t="s">
        <v>260</v>
      </c>
      <c r="D156" s="15">
        <v>16.003657978966622</v>
      </c>
      <c r="E156" s="15">
        <v>13.21</v>
      </c>
      <c r="F156" s="15">
        <v>99.7</v>
      </c>
      <c r="G156" s="12">
        <v>4115.318483193023</v>
      </c>
      <c r="H156" s="12">
        <v>2083</v>
      </c>
      <c r="I156" s="12">
        <v>2032</v>
      </c>
      <c r="J156" s="15">
        <v>9.9</v>
      </c>
      <c r="K156" s="15">
        <v>8.3000000000000007</v>
      </c>
      <c r="L156" s="15">
        <v>6.3</v>
      </c>
      <c r="M156" s="15">
        <v>7</v>
      </c>
      <c r="N156" s="15">
        <v>17.399756986634266</v>
      </c>
      <c r="O156" s="15">
        <v>21.944106925880924</v>
      </c>
      <c r="P156" s="15">
        <v>15.479951397326852</v>
      </c>
      <c r="Q156" s="15">
        <v>5.5</v>
      </c>
      <c r="R156" s="15">
        <v>8.1999999999999993</v>
      </c>
      <c r="S156" s="15">
        <v>28.7</v>
      </c>
      <c r="T156" s="15">
        <v>2.6</v>
      </c>
      <c r="U156" s="12">
        <v>-9</v>
      </c>
      <c r="V156" s="12">
        <v>106</v>
      </c>
      <c r="W156" s="15">
        <v>12.8</v>
      </c>
      <c r="X156" s="15">
        <v>8.1</v>
      </c>
      <c r="Y156" s="24">
        <v>51</v>
      </c>
      <c r="Z156" s="19">
        <v>9.9</v>
      </c>
      <c r="AA156" s="19">
        <v>9.4</v>
      </c>
      <c r="AB156" s="19">
        <v>53</v>
      </c>
      <c r="AC156" s="49">
        <v>4</v>
      </c>
      <c r="AD156" s="27">
        <v>4</v>
      </c>
      <c r="AE156" s="27">
        <v>4</v>
      </c>
      <c r="AF156" s="31">
        <v>3</v>
      </c>
      <c r="AG156" s="15">
        <v>64.415156507413514</v>
      </c>
      <c r="AH156" s="44">
        <v>5.0999999999999996</v>
      </c>
      <c r="AI156" s="44">
        <v>4.9000000000000004</v>
      </c>
      <c r="AJ156" s="44">
        <v>26</v>
      </c>
      <c r="AK156" s="44">
        <v>7.2</v>
      </c>
      <c r="AL156" s="44">
        <v>6.8</v>
      </c>
      <c r="AM156" s="44">
        <v>29</v>
      </c>
      <c r="AN156" s="19"/>
      <c r="AO156" s="19"/>
      <c r="AP156" s="84">
        <v>0</v>
      </c>
      <c r="AQ156" s="60">
        <v>7258</v>
      </c>
      <c r="AR156" s="60">
        <v>4175</v>
      </c>
      <c r="AS156" s="60">
        <v>2449</v>
      </c>
      <c r="AT156" s="60">
        <v>6810</v>
      </c>
      <c r="AU156" s="24">
        <v>18985</v>
      </c>
      <c r="AV156" s="60">
        <v>6292.3441055061185</v>
      </c>
      <c r="AW156" s="24">
        <v>5707</v>
      </c>
      <c r="AX156" s="24">
        <v>4000</v>
      </c>
      <c r="AY156" s="60">
        <v>1045</v>
      </c>
      <c r="AZ156" s="60">
        <v>475</v>
      </c>
    </row>
    <row r="157" spans="1:52">
      <c r="A157" s="3" t="s">
        <v>155</v>
      </c>
      <c r="B157" s="7" t="s">
        <v>263</v>
      </c>
      <c r="C157" s="7" t="s">
        <v>261</v>
      </c>
      <c r="D157" s="15">
        <v>18.76355748373102</v>
      </c>
      <c r="E157" s="15">
        <v>44.25</v>
      </c>
      <c r="F157" s="15" t="s">
        <v>280</v>
      </c>
      <c r="G157" s="12">
        <v>1739.8937131613575</v>
      </c>
      <c r="H157" s="12">
        <v>875</v>
      </c>
      <c r="I157" s="12">
        <v>864</v>
      </c>
      <c r="J157" s="15">
        <v>6.6</v>
      </c>
      <c r="K157" s="15">
        <v>5.2</v>
      </c>
      <c r="L157" s="15">
        <v>5.3</v>
      </c>
      <c r="M157" s="15">
        <v>5.5</v>
      </c>
      <c r="N157" s="15">
        <v>20.114942528735632</v>
      </c>
      <c r="O157" s="15">
        <v>21.551724137931032</v>
      </c>
      <c r="P157" s="15">
        <v>14.367816091954023</v>
      </c>
      <c r="Q157" s="15">
        <v>5.9</v>
      </c>
      <c r="R157" s="15">
        <v>15.5</v>
      </c>
      <c r="S157" s="15">
        <v>20.3</v>
      </c>
      <c r="T157" s="15">
        <v>5.4</v>
      </c>
      <c r="U157" s="12">
        <v>20</v>
      </c>
      <c r="V157" s="12">
        <v>76</v>
      </c>
      <c r="W157" s="15">
        <v>1.5</v>
      </c>
      <c r="X157" s="15">
        <v>1.5</v>
      </c>
      <c r="Y157" s="24">
        <v>2</v>
      </c>
      <c r="Z157" s="19">
        <v>1.4</v>
      </c>
      <c r="AA157" s="19">
        <v>1.4</v>
      </c>
      <c r="AB157" s="19">
        <v>6</v>
      </c>
      <c r="AC157" s="49">
        <v>7</v>
      </c>
      <c r="AD157" s="27">
        <v>7</v>
      </c>
      <c r="AE157" s="27">
        <v>1</v>
      </c>
      <c r="AF157" s="31">
        <v>0</v>
      </c>
      <c r="AG157" s="15">
        <v>54.268696227663803</v>
      </c>
      <c r="AH157" s="44">
        <v>3.7</v>
      </c>
      <c r="AI157" s="44">
        <v>3.7</v>
      </c>
      <c r="AJ157" s="44">
        <v>20</v>
      </c>
      <c r="AK157" s="44">
        <v>2.4</v>
      </c>
      <c r="AL157" s="44">
        <v>2.4</v>
      </c>
      <c r="AM157" s="44">
        <v>11</v>
      </c>
      <c r="AN157" s="19"/>
      <c r="AO157" s="19"/>
      <c r="AP157" s="84">
        <v>0</v>
      </c>
      <c r="AQ157" s="60">
        <v>10907</v>
      </c>
      <c r="AR157" s="60">
        <v>7442</v>
      </c>
      <c r="AS157" s="60">
        <v>4237</v>
      </c>
      <c r="AT157" s="60">
        <v>5310</v>
      </c>
      <c r="AU157" s="24">
        <v>6319</v>
      </c>
      <c r="AV157" s="60">
        <v>9889.9719389952061</v>
      </c>
      <c r="AW157" s="24">
        <v>6797</v>
      </c>
      <c r="AX157" s="24">
        <v>4332</v>
      </c>
      <c r="AY157" s="60">
        <v>321</v>
      </c>
      <c r="AZ157" s="60">
        <v>961</v>
      </c>
    </row>
    <row r="158" spans="1:52">
      <c r="A158" s="3" t="s">
        <v>156</v>
      </c>
      <c r="B158" s="7" t="s">
        <v>263</v>
      </c>
      <c r="C158" s="7" t="s">
        <v>261</v>
      </c>
      <c r="D158" s="15">
        <v>10.677337497560023</v>
      </c>
      <c r="E158" s="15">
        <v>66.44</v>
      </c>
      <c r="F158" s="15" t="s">
        <v>280</v>
      </c>
      <c r="G158" s="12">
        <v>10946.863569185234</v>
      </c>
      <c r="H158" s="12">
        <v>5509</v>
      </c>
      <c r="I158" s="12">
        <v>5437</v>
      </c>
      <c r="J158" s="15">
        <v>6.9</v>
      </c>
      <c r="K158" s="15">
        <v>11.3</v>
      </c>
      <c r="L158" s="15">
        <v>12.3</v>
      </c>
      <c r="M158" s="15">
        <v>8.6999999999999993</v>
      </c>
      <c r="N158" s="15">
        <v>11.592217045765963</v>
      </c>
      <c r="O158" s="15">
        <v>18.525623458481778</v>
      </c>
      <c r="P158" s="15">
        <v>17.822234402119303</v>
      </c>
      <c r="Q158" s="15">
        <v>3.5</v>
      </c>
      <c r="R158" s="15">
        <v>9.4</v>
      </c>
      <c r="S158" s="15">
        <v>35.799999999999997</v>
      </c>
      <c r="T158" s="15">
        <v>3.2</v>
      </c>
      <c r="U158" s="12">
        <v>232</v>
      </c>
      <c r="V158" s="12">
        <v>213</v>
      </c>
      <c r="W158" s="15">
        <v>14.7</v>
      </c>
      <c r="X158" s="15">
        <v>14.4</v>
      </c>
      <c r="Y158" s="24">
        <v>51</v>
      </c>
      <c r="Z158" s="19">
        <v>22.4</v>
      </c>
      <c r="AA158" s="19">
        <v>17.399999999999999</v>
      </c>
      <c r="AB158" s="19">
        <v>66</v>
      </c>
      <c r="AC158" s="49">
        <v>9</v>
      </c>
      <c r="AD158" s="27">
        <v>9</v>
      </c>
      <c r="AE158" s="27">
        <v>3</v>
      </c>
      <c r="AF158" s="31">
        <v>0</v>
      </c>
      <c r="AG158" s="15">
        <v>72.384989402817595</v>
      </c>
      <c r="AH158" s="44">
        <v>11.8</v>
      </c>
      <c r="AI158" s="44">
        <v>11.6</v>
      </c>
      <c r="AJ158" s="44">
        <v>39</v>
      </c>
      <c r="AK158" s="44">
        <v>5.9</v>
      </c>
      <c r="AL158" s="44">
        <v>4.8</v>
      </c>
      <c r="AM158" s="44">
        <v>16</v>
      </c>
      <c r="AN158" s="19"/>
      <c r="AO158" s="19"/>
      <c r="AP158" s="84">
        <v>0</v>
      </c>
      <c r="AQ158" s="60">
        <v>57470</v>
      </c>
      <c r="AR158" s="60">
        <v>32964</v>
      </c>
      <c r="AS158" s="60">
        <v>31230</v>
      </c>
      <c r="AT158" s="60">
        <v>33963.280400000003</v>
      </c>
      <c r="AU158" s="24">
        <v>26342</v>
      </c>
      <c r="AV158" s="60">
        <v>7626.2026536075273</v>
      </c>
      <c r="AW158" s="24">
        <v>34518.987800000003</v>
      </c>
      <c r="AX158" s="24">
        <v>32269.2804</v>
      </c>
      <c r="AY158" s="60">
        <v>1185.1134</v>
      </c>
      <c r="AZ158" s="60">
        <v>0</v>
      </c>
    </row>
    <row r="159" spans="1:52">
      <c r="A159" s="3" t="s">
        <v>157</v>
      </c>
      <c r="B159" s="7" t="s">
        <v>263</v>
      </c>
      <c r="C159" s="7" t="s">
        <v>260</v>
      </c>
      <c r="D159" s="15">
        <v>13.862851504686729</v>
      </c>
      <c r="E159" s="15">
        <v>8.84</v>
      </c>
      <c r="F159" s="15">
        <v>99.9</v>
      </c>
      <c r="G159" s="12">
        <v>3869.3573840350318</v>
      </c>
      <c r="H159" s="12">
        <v>1981</v>
      </c>
      <c r="I159" s="12">
        <v>1889</v>
      </c>
      <c r="J159" s="15">
        <v>7.6</v>
      </c>
      <c r="K159" s="15">
        <v>8.5</v>
      </c>
      <c r="L159" s="15">
        <v>9.8000000000000007</v>
      </c>
      <c r="M159" s="15">
        <v>9.8000000000000007</v>
      </c>
      <c r="N159" s="15">
        <v>14.215559576117858</v>
      </c>
      <c r="O159" s="15">
        <v>19.746704574825536</v>
      </c>
      <c r="P159" s="15">
        <v>18.919617472215041</v>
      </c>
      <c r="Q159" s="15">
        <v>3.7</v>
      </c>
      <c r="R159" s="15">
        <v>7.8</v>
      </c>
      <c r="S159" s="15">
        <v>31.7</v>
      </c>
      <c r="T159" s="15">
        <v>3.2</v>
      </c>
      <c r="U159" s="12">
        <v>11</v>
      </c>
      <c r="V159" s="12">
        <v>116</v>
      </c>
      <c r="W159" s="15">
        <v>10.9</v>
      </c>
      <c r="X159" s="15">
        <v>6.6</v>
      </c>
      <c r="Y159" s="24">
        <v>22</v>
      </c>
      <c r="Z159" s="19">
        <v>3.8</v>
      </c>
      <c r="AA159" s="19">
        <v>2.1</v>
      </c>
      <c r="AB159" s="19">
        <v>8</v>
      </c>
      <c r="AC159" s="49">
        <v>3</v>
      </c>
      <c r="AD159" s="27">
        <v>2</v>
      </c>
      <c r="AE159" s="27">
        <v>1</v>
      </c>
      <c r="AF159" s="31">
        <v>0.2</v>
      </c>
      <c r="AG159" s="15">
        <v>22.559652928416483</v>
      </c>
      <c r="AH159" s="44">
        <v>5</v>
      </c>
      <c r="AI159" s="44">
        <v>3.6</v>
      </c>
      <c r="AJ159" s="44">
        <v>22</v>
      </c>
      <c r="AK159" s="44">
        <v>6.7</v>
      </c>
      <c r="AL159" s="44">
        <v>5.7</v>
      </c>
      <c r="AM159" s="44">
        <v>24</v>
      </c>
      <c r="AN159" s="19"/>
      <c r="AO159" s="19"/>
      <c r="AP159" s="84">
        <v>0</v>
      </c>
      <c r="AQ159" s="60">
        <v>19777</v>
      </c>
      <c r="AR159" s="60">
        <v>6807</v>
      </c>
      <c r="AS159" s="60">
        <v>4241</v>
      </c>
      <c r="AT159" s="60">
        <v>6363.0293000000001</v>
      </c>
      <c r="AU159" s="24">
        <v>23178</v>
      </c>
      <c r="AV159" s="60">
        <v>10867.696060721199</v>
      </c>
      <c r="AW159" s="24">
        <v>10782.095300000001</v>
      </c>
      <c r="AX159" s="24">
        <v>8275.2731999999996</v>
      </c>
      <c r="AY159" s="60">
        <v>1296.8154</v>
      </c>
      <c r="AZ159" s="60">
        <v>442.08</v>
      </c>
    </row>
    <row r="160" spans="1:52">
      <c r="A160" s="3" t="s">
        <v>158</v>
      </c>
      <c r="B160" s="7" t="s">
        <v>263</v>
      </c>
      <c r="C160" s="7" t="s">
        <v>260</v>
      </c>
      <c r="D160" s="15">
        <v>15.17412935323383</v>
      </c>
      <c r="E160" s="15">
        <v>35.369999999999997</v>
      </c>
      <c r="F160" s="15">
        <v>97.5</v>
      </c>
      <c r="G160" s="12">
        <v>3281.1785827625231</v>
      </c>
      <c r="H160" s="12">
        <v>1635</v>
      </c>
      <c r="I160" s="12">
        <v>1647</v>
      </c>
      <c r="J160" s="15">
        <v>6.5</v>
      </c>
      <c r="K160" s="15">
        <v>6.8</v>
      </c>
      <c r="L160" s="15">
        <v>6.1</v>
      </c>
      <c r="M160" s="15">
        <v>7.4</v>
      </c>
      <c r="N160" s="15">
        <v>14.050594330996645</v>
      </c>
      <c r="O160" s="15">
        <v>18.591892715635478</v>
      </c>
      <c r="P160" s="15">
        <v>19.323377019201462</v>
      </c>
      <c r="Q160" s="15">
        <v>4.7</v>
      </c>
      <c r="R160" s="15">
        <v>16.600000000000001</v>
      </c>
      <c r="S160" s="15">
        <v>23.5</v>
      </c>
      <c r="T160" s="15">
        <v>9.5</v>
      </c>
      <c r="U160" s="12">
        <v>-5</v>
      </c>
      <c r="V160" s="12">
        <v>44</v>
      </c>
      <c r="W160" s="15">
        <v>4.4000000000000004</v>
      </c>
      <c r="X160" s="15">
        <v>4.3</v>
      </c>
      <c r="Y160" s="24">
        <v>16</v>
      </c>
      <c r="Z160" s="19">
        <v>6</v>
      </c>
      <c r="AA160" s="19">
        <v>4.0999999999999996</v>
      </c>
      <c r="AB160" s="19">
        <v>15</v>
      </c>
      <c r="AC160" s="49">
        <v>7</v>
      </c>
      <c r="AD160" s="27">
        <v>7</v>
      </c>
      <c r="AE160" s="27">
        <v>3</v>
      </c>
      <c r="AF160" s="31">
        <v>6.2</v>
      </c>
      <c r="AG160" s="15">
        <v>66.551987767584095</v>
      </c>
      <c r="AH160" s="44">
        <v>3.4</v>
      </c>
      <c r="AI160" s="44">
        <v>2.5</v>
      </c>
      <c r="AJ160" s="44">
        <v>10</v>
      </c>
      <c r="AK160" s="44">
        <v>4.5999999999999996</v>
      </c>
      <c r="AL160" s="44">
        <v>3.9</v>
      </c>
      <c r="AM160" s="44">
        <v>18</v>
      </c>
      <c r="AN160" s="19"/>
      <c r="AO160" s="19"/>
      <c r="AP160" s="84">
        <v>0</v>
      </c>
      <c r="AQ160" s="60">
        <v>13034</v>
      </c>
      <c r="AR160" s="60">
        <v>7748</v>
      </c>
      <c r="AS160" s="60">
        <v>4004</v>
      </c>
      <c r="AT160" s="60">
        <v>6683</v>
      </c>
      <c r="AU160" s="24">
        <v>15742</v>
      </c>
      <c r="AV160" s="60">
        <v>8768.8003789711402</v>
      </c>
      <c r="AW160" s="24">
        <v>11668</v>
      </c>
      <c r="AX160" s="24">
        <v>6921</v>
      </c>
      <c r="AY160" s="60">
        <v>2581</v>
      </c>
      <c r="AZ160" s="60">
        <v>0</v>
      </c>
    </row>
    <row r="161" spans="1:52">
      <c r="A161" s="3" t="s">
        <v>159</v>
      </c>
      <c r="B161" s="7" t="s">
        <v>263</v>
      </c>
      <c r="C161" s="7" t="s">
        <v>261</v>
      </c>
      <c r="D161" s="15">
        <v>18.902439024390244</v>
      </c>
      <c r="E161" s="15">
        <v>29.41</v>
      </c>
      <c r="F161" s="15" t="s">
        <v>280</v>
      </c>
      <c r="G161" s="12">
        <v>1376.9826353216724</v>
      </c>
      <c r="H161" s="12">
        <v>722</v>
      </c>
      <c r="I161" s="12">
        <v>655</v>
      </c>
      <c r="J161" s="15">
        <v>12.4</v>
      </c>
      <c r="K161" s="15">
        <v>12</v>
      </c>
      <c r="L161" s="15">
        <v>9.9</v>
      </c>
      <c r="M161" s="15">
        <v>8.1</v>
      </c>
      <c r="N161" s="15">
        <v>14.524328249818447</v>
      </c>
      <c r="O161" s="15">
        <v>17.647058823529413</v>
      </c>
      <c r="P161" s="15">
        <v>10.167029774872912</v>
      </c>
      <c r="Q161" s="15">
        <v>4.7</v>
      </c>
      <c r="R161" s="15">
        <v>10.5</v>
      </c>
      <c r="S161" s="15">
        <v>37</v>
      </c>
      <c r="T161" s="15">
        <v>2.7</v>
      </c>
      <c r="U161" s="12">
        <v>26</v>
      </c>
      <c r="V161" s="12">
        <v>42</v>
      </c>
      <c r="W161" s="15" t="s">
        <v>280</v>
      </c>
      <c r="X161" s="15" t="s">
        <v>280</v>
      </c>
      <c r="Y161" s="24" t="s">
        <v>280</v>
      </c>
      <c r="Z161" s="19" t="s">
        <v>280</v>
      </c>
      <c r="AA161" s="19" t="s">
        <v>280</v>
      </c>
      <c r="AB161" s="19" t="s">
        <v>280</v>
      </c>
      <c r="AC161" s="49">
        <v>3</v>
      </c>
      <c r="AD161" s="27">
        <v>4</v>
      </c>
      <c r="AE161" s="27">
        <v>3</v>
      </c>
      <c r="AF161" s="31">
        <v>1.4</v>
      </c>
      <c r="AG161" s="15">
        <v>54.216867469879517</v>
      </c>
      <c r="AH161" s="44" t="s">
        <v>280</v>
      </c>
      <c r="AI161" s="44" t="s">
        <v>280</v>
      </c>
      <c r="AJ161" s="44" t="s">
        <v>280</v>
      </c>
      <c r="AK161" s="44" t="s">
        <v>280</v>
      </c>
      <c r="AL161" s="44" t="s">
        <v>280</v>
      </c>
      <c r="AM161" s="44" t="s">
        <v>280</v>
      </c>
      <c r="AN161" s="19"/>
      <c r="AO161" s="19"/>
      <c r="AP161" s="84">
        <v>0</v>
      </c>
      <c r="AQ161" s="60">
        <v>10883</v>
      </c>
      <c r="AR161" s="60">
        <v>2716</v>
      </c>
      <c r="AS161" s="60">
        <v>1580</v>
      </c>
      <c r="AT161" s="60">
        <v>1911.4090000000001</v>
      </c>
      <c r="AU161" s="24">
        <v>11806</v>
      </c>
      <c r="AV161" s="60">
        <v>15902.887544318581</v>
      </c>
      <c r="AW161" s="24">
        <v>3343.3818000000001</v>
      </c>
      <c r="AX161" s="24">
        <v>1926.4090000000001</v>
      </c>
      <c r="AY161" s="60">
        <v>630.99400000000003</v>
      </c>
      <c r="AZ161" s="60">
        <v>612.53899999999999</v>
      </c>
    </row>
    <row r="162" spans="1:52">
      <c r="A162" s="3" t="s">
        <v>160</v>
      </c>
      <c r="B162" s="7" t="s">
        <v>263</v>
      </c>
      <c r="C162" s="7" t="s">
        <v>260</v>
      </c>
      <c r="D162" s="15">
        <v>11.619265399456911</v>
      </c>
      <c r="E162" s="15">
        <v>13.04</v>
      </c>
      <c r="F162" s="15">
        <v>100</v>
      </c>
      <c r="G162" s="12">
        <v>15860.84461081914</v>
      </c>
      <c r="H162" s="12">
        <v>8058</v>
      </c>
      <c r="I162" s="12">
        <v>7803</v>
      </c>
      <c r="J162" s="15">
        <v>9.6</v>
      </c>
      <c r="K162" s="15">
        <v>8.9</v>
      </c>
      <c r="L162" s="15">
        <v>9.1</v>
      </c>
      <c r="M162" s="15">
        <v>9.8000000000000007</v>
      </c>
      <c r="N162" s="15">
        <v>20.263539499401045</v>
      </c>
      <c r="O162" s="15">
        <v>17.558792005548199</v>
      </c>
      <c r="P162" s="15">
        <v>16.121303826997035</v>
      </c>
      <c r="Q162" s="15">
        <v>3</v>
      </c>
      <c r="R162" s="15">
        <v>5.5</v>
      </c>
      <c r="S162" s="15">
        <v>33.200000000000003</v>
      </c>
      <c r="T162" s="15">
        <v>1.7</v>
      </c>
      <c r="U162" s="12">
        <v>-17</v>
      </c>
      <c r="V162" s="12">
        <v>350</v>
      </c>
      <c r="W162" s="15">
        <v>14.9</v>
      </c>
      <c r="X162" s="15">
        <v>14.1</v>
      </c>
      <c r="Y162" s="24">
        <v>60</v>
      </c>
      <c r="Z162" s="19">
        <v>9.6999999999999993</v>
      </c>
      <c r="AA162" s="19">
        <v>8.6999999999999993</v>
      </c>
      <c r="AB162" s="19">
        <v>45</v>
      </c>
      <c r="AC162" s="49">
        <v>3</v>
      </c>
      <c r="AD162" s="27">
        <v>2</v>
      </c>
      <c r="AE162" s="27">
        <v>5</v>
      </c>
      <c r="AF162" s="31">
        <v>0.5</v>
      </c>
      <c r="AG162" s="15">
        <v>43.069863270275334</v>
      </c>
      <c r="AH162" s="44">
        <v>6.1</v>
      </c>
      <c r="AI162" s="44">
        <v>6.1</v>
      </c>
      <c r="AJ162" s="44">
        <v>31</v>
      </c>
      <c r="AK162" s="44">
        <v>11.8</v>
      </c>
      <c r="AL162" s="44">
        <v>11.7</v>
      </c>
      <c r="AM162" s="44">
        <v>55</v>
      </c>
      <c r="AN162" s="19"/>
      <c r="AO162" s="19"/>
      <c r="AP162" s="84">
        <v>0</v>
      </c>
      <c r="AQ162" s="60">
        <v>27508</v>
      </c>
      <c r="AR162" s="60">
        <v>12798</v>
      </c>
      <c r="AS162" s="60">
        <v>11439</v>
      </c>
      <c r="AT162" s="60">
        <v>22463.71</v>
      </c>
      <c r="AU162" s="24">
        <v>87699</v>
      </c>
      <c r="AV162" s="60">
        <v>7133.7310702116811</v>
      </c>
      <c r="AW162" s="24">
        <v>23582.58</v>
      </c>
      <c r="AX162" s="24">
        <v>21677.19</v>
      </c>
      <c r="AY162" s="60">
        <v>1287.7</v>
      </c>
      <c r="AZ162" s="60">
        <v>307.43</v>
      </c>
    </row>
    <row r="163" spans="1:52">
      <c r="A163" s="3" t="s">
        <v>161</v>
      </c>
      <c r="B163" s="7" t="s">
        <v>263</v>
      </c>
      <c r="C163" s="7" t="s">
        <v>261</v>
      </c>
      <c r="D163" s="15">
        <v>23.49570200573066</v>
      </c>
      <c r="E163" s="15">
        <v>28.24</v>
      </c>
      <c r="F163" s="15">
        <v>4.0999999999999996</v>
      </c>
      <c r="G163" s="12">
        <v>5263.01800192679</v>
      </c>
      <c r="H163" s="12">
        <v>2872</v>
      </c>
      <c r="I163" s="12">
        <v>2391</v>
      </c>
      <c r="J163" s="15">
        <v>10.3</v>
      </c>
      <c r="K163" s="15">
        <v>8.3000000000000007</v>
      </c>
      <c r="L163" s="15">
        <v>7.1</v>
      </c>
      <c r="M163" s="15">
        <v>11.5</v>
      </c>
      <c r="N163" s="15">
        <v>20.76762302869086</v>
      </c>
      <c r="O163" s="15">
        <v>18.221546646399393</v>
      </c>
      <c r="P163" s="15">
        <v>11.780353410602318</v>
      </c>
      <c r="Q163" s="15">
        <v>3.2</v>
      </c>
      <c r="R163" s="15">
        <v>8.8000000000000007</v>
      </c>
      <c r="S163" s="15">
        <v>32.5</v>
      </c>
      <c r="T163" s="15">
        <v>3.4</v>
      </c>
      <c r="U163" s="12">
        <v>4</v>
      </c>
      <c r="V163" s="12">
        <v>132</v>
      </c>
      <c r="W163" s="15">
        <v>7.5</v>
      </c>
      <c r="X163" s="15">
        <v>3.9</v>
      </c>
      <c r="Y163" s="24">
        <v>26</v>
      </c>
      <c r="Z163" s="19">
        <v>6.2</v>
      </c>
      <c r="AA163" s="19">
        <v>2.2999999999999998</v>
      </c>
      <c r="AB163" s="19">
        <v>18</v>
      </c>
      <c r="AC163" s="49">
        <v>3</v>
      </c>
      <c r="AD163" s="27">
        <v>3</v>
      </c>
      <c r="AE163" s="27">
        <v>1</v>
      </c>
      <c r="AF163" s="31">
        <v>0.1</v>
      </c>
      <c r="AG163" s="15">
        <v>53.089061246322544</v>
      </c>
      <c r="AH163" s="44">
        <v>3.2</v>
      </c>
      <c r="AI163" s="44">
        <v>3.2</v>
      </c>
      <c r="AJ163" s="44">
        <v>25</v>
      </c>
      <c r="AK163" s="44">
        <v>4.8</v>
      </c>
      <c r="AL163" s="44">
        <v>1.9</v>
      </c>
      <c r="AM163" s="44">
        <v>7</v>
      </c>
      <c r="AN163" s="19"/>
      <c r="AO163" s="19"/>
      <c r="AP163" s="84">
        <v>0</v>
      </c>
      <c r="AQ163" s="60">
        <v>41061</v>
      </c>
      <c r="AR163" s="60">
        <v>17875</v>
      </c>
      <c r="AS163" s="60">
        <v>9776</v>
      </c>
      <c r="AT163" s="60">
        <v>11119.375</v>
      </c>
      <c r="AU163" s="24">
        <v>44115</v>
      </c>
      <c r="AV163" s="60">
        <v>16181.590100740959</v>
      </c>
      <c r="AW163" s="24">
        <v>33122.832000000002</v>
      </c>
      <c r="AX163" s="24">
        <v>10809.334999999999</v>
      </c>
      <c r="AY163" s="60">
        <v>3970.0230000000001</v>
      </c>
      <c r="AZ163" s="60">
        <v>1651.107</v>
      </c>
    </row>
    <row r="164" spans="1:52">
      <c r="A164" s="3" t="s">
        <v>162</v>
      </c>
      <c r="B164" s="7" t="s">
        <v>263</v>
      </c>
      <c r="C164" s="7" t="s">
        <v>260</v>
      </c>
      <c r="D164" s="15">
        <v>15.656690576304724</v>
      </c>
      <c r="E164" s="15">
        <v>12.94</v>
      </c>
      <c r="F164" s="15">
        <v>100</v>
      </c>
      <c r="G164" s="12">
        <v>8770.5822717185056</v>
      </c>
      <c r="H164" s="12">
        <v>4556</v>
      </c>
      <c r="I164" s="12">
        <v>4214</v>
      </c>
      <c r="J164" s="15">
        <v>10</v>
      </c>
      <c r="K164" s="15">
        <v>10.6</v>
      </c>
      <c r="L164" s="15">
        <v>9.4</v>
      </c>
      <c r="M164" s="15">
        <v>9.6</v>
      </c>
      <c r="N164" s="15">
        <v>18.663778360506214</v>
      </c>
      <c r="O164" s="15">
        <v>20.009120966822483</v>
      </c>
      <c r="P164" s="15">
        <v>13.259605518184928</v>
      </c>
      <c r="Q164" s="15">
        <v>3</v>
      </c>
      <c r="R164" s="15">
        <v>5.4</v>
      </c>
      <c r="S164" s="15">
        <v>35.6</v>
      </c>
      <c r="T164" s="15">
        <v>1.8</v>
      </c>
      <c r="U164" s="12">
        <v>-23</v>
      </c>
      <c r="V164" s="12">
        <v>114</v>
      </c>
      <c r="W164" s="15">
        <v>24.1</v>
      </c>
      <c r="X164" s="15">
        <v>23.9</v>
      </c>
      <c r="Y164" s="24">
        <v>90</v>
      </c>
      <c r="Z164" s="19">
        <v>16.8</v>
      </c>
      <c r="AA164" s="19">
        <v>14.1</v>
      </c>
      <c r="AB164" s="19">
        <v>61</v>
      </c>
      <c r="AC164" s="49">
        <v>3</v>
      </c>
      <c r="AD164" s="27">
        <v>2</v>
      </c>
      <c r="AE164" s="27">
        <v>5</v>
      </c>
      <c r="AF164" s="31">
        <v>0</v>
      </c>
      <c r="AG164" s="15">
        <v>48.425987943737439</v>
      </c>
      <c r="AH164" s="44">
        <v>17.5</v>
      </c>
      <c r="AI164" s="44">
        <v>13.1</v>
      </c>
      <c r="AJ164" s="44">
        <v>54</v>
      </c>
      <c r="AK164" s="44">
        <v>7.6</v>
      </c>
      <c r="AL164" s="44">
        <v>6.6</v>
      </c>
      <c r="AM164" s="44">
        <v>30</v>
      </c>
      <c r="AN164" s="19"/>
      <c r="AO164" s="19"/>
      <c r="AP164" s="84">
        <v>0</v>
      </c>
      <c r="AQ164" s="60">
        <v>17792</v>
      </c>
      <c r="AR164" s="60">
        <v>5989</v>
      </c>
      <c r="AS164" s="60">
        <v>5147</v>
      </c>
      <c r="AT164" s="60">
        <v>15205</v>
      </c>
      <c r="AU164" s="24">
        <v>42807</v>
      </c>
      <c r="AV164" s="60">
        <v>6881.8691997941278</v>
      </c>
      <c r="AW164" s="24">
        <v>11660</v>
      </c>
      <c r="AX164" s="24">
        <v>10461</v>
      </c>
      <c r="AY164" s="60">
        <v>1156</v>
      </c>
      <c r="AZ164" s="60">
        <v>0</v>
      </c>
    </row>
    <row r="165" spans="1:52">
      <c r="A165" s="3" t="s">
        <v>163</v>
      </c>
      <c r="B165" s="7" t="s">
        <v>263</v>
      </c>
      <c r="C165" s="7" t="s">
        <v>260</v>
      </c>
      <c r="D165" s="15">
        <v>14.085881587508133</v>
      </c>
      <c r="E165" s="15">
        <v>14.93</v>
      </c>
      <c r="F165" s="15">
        <v>99.8</v>
      </c>
      <c r="G165" s="12">
        <v>13717.162232738068</v>
      </c>
      <c r="H165" s="12">
        <v>6939</v>
      </c>
      <c r="I165" s="12">
        <v>6778</v>
      </c>
      <c r="J165" s="15">
        <v>9.8000000000000007</v>
      </c>
      <c r="K165" s="15">
        <v>10.1</v>
      </c>
      <c r="L165" s="15">
        <v>9.5</v>
      </c>
      <c r="M165" s="15">
        <v>10.7</v>
      </c>
      <c r="N165" s="15">
        <v>18.568200043741342</v>
      </c>
      <c r="O165" s="15">
        <v>19.705474958081211</v>
      </c>
      <c r="P165" s="15">
        <v>14.405482248305024</v>
      </c>
      <c r="Q165" s="15">
        <v>2.7</v>
      </c>
      <c r="R165" s="15">
        <v>4.5999999999999996</v>
      </c>
      <c r="S165" s="15">
        <v>35.799999999999997</v>
      </c>
      <c r="T165" s="15">
        <v>1.6</v>
      </c>
      <c r="U165" s="12">
        <v>-45</v>
      </c>
      <c r="V165" s="12">
        <v>250</v>
      </c>
      <c r="W165" s="15">
        <v>14.9</v>
      </c>
      <c r="X165" s="15">
        <v>14.9</v>
      </c>
      <c r="Y165" s="24">
        <v>80</v>
      </c>
      <c r="Z165" s="19">
        <v>15.3</v>
      </c>
      <c r="AA165" s="19">
        <v>14.8</v>
      </c>
      <c r="AB165" s="19">
        <v>72</v>
      </c>
      <c r="AC165" s="49">
        <v>3</v>
      </c>
      <c r="AD165" s="27">
        <v>2</v>
      </c>
      <c r="AE165" s="27">
        <v>3</v>
      </c>
      <c r="AF165" s="31">
        <v>0.5</v>
      </c>
      <c r="AG165" s="15">
        <v>58.37054787060233</v>
      </c>
      <c r="AH165" s="44">
        <v>5.8</v>
      </c>
      <c r="AI165" s="44">
        <v>5.4</v>
      </c>
      <c r="AJ165" s="44">
        <v>28</v>
      </c>
      <c r="AK165" s="44">
        <v>11.4</v>
      </c>
      <c r="AL165" s="44">
        <v>11.4</v>
      </c>
      <c r="AM165" s="44">
        <v>63</v>
      </c>
      <c r="AN165" s="19"/>
      <c r="AO165" s="19"/>
      <c r="AP165" s="84">
        <v>0</v>
      </c>
      <c r="AQ165" s="60">
        <v>16585</v>
      </c>
      <c r="AR165" s="60">
        <v>9173</v>
      </c>
      <c r="AS165" s="60">
        <v>7342</v>
      </c>
      <c r="AT165" s="60">
        <v>19933.061000000002</v>
      </c>
      <c r="AU165" s="24">
        <v>84095</v>
      </c>
      <c r="AV165" s="60">
        <v>7338.7628061832702</v>
      </c>
      <c r="AW165" s="24">
        <v>14231.909</v>
      </c>
      <c r="AX165" s="24">
        <v>12118.061</v>
      </c>
      <c r="AY165" s="60">
        <v>1660.489</v>
      </c>
      <c r="AZ165" s="60">
        <v>2.6429999999999998</v>
      </c>
    </row>
    <row r="166" spans="1:52">
      <c r="A166" s="3" t="s">
        <v>164</v>
      </c>
      <c r="B166" s="7" t="s">
        <v>263</v>
      </c>
      <c r="C166" s="7" t="s">
        <v>260</v>
      </c>
      <c r="D166" s="15">
        <v>13.665943600867678</v>
      </c>
      <c r="E166" s="15">
        <v>18.32</v>
      </c>
      <c r="F166" s="15">
        <v>100</v>
      </c>
      <c r="G166" s="12">
        <v>4480.8152207950443</v>
      </c>
      <c r="H166" s="12">
        <v>2328</v>
      </c>
      <c r="I166" s="12">
        <v>2152</v>
      </c>
      <c r="J166" s="15">
        <v>8.6999999999999993</v>
      </c>
      <c r="K166" s="15">
        <v>7.2</v>
      </c>
      <c r="L166" s="15">
        <v>8.6</v>
      </c>
      <c r="M166" s="15">
        <v>8.4</v>
      </c>
      <c r="N166" s="15">
        <v>18.745815666145948</v>
      </c>
      <c r="O166" s="15">
        <v>23.811649185449678</v>
      </c>
      <c r="P166" s="15">
        <v>15.844677527337648</v>
      </c>
      <c r="Q166" s="15">
        <v>3.2</v>
      </c>
      <c r="R166" s="15">
        <v>5.6</v>
      </c>
      <c r="S166" s="15">
        <v>29.2</v>
      </c>
      <c r="T166" s="15">
        <v>1.8</v>
      </c>
      <c r="U166" s="12">
        <v>-1</v>
      </c>
      <c r="V166" s="12">
        <v>119</v>
      </c>
      <c r="W166" s="15">
        <v>4.3</v>
      </c>
      <c r="X166" s="15">
        <v>4.3</v>
      </c>
      <c r="Y166" s="24">
        <v>15</v>
      </c>
      <c r="Z166" s="19">
        <v>3.8</v>
      </c>
      <c r="AA166" s="19">
        <v>1.4</v>
      </c>
      <c r="AB166" s="19">
        <v>5</v>
      </c>
      <c r="AC166" s="49">
        <v>4</v>
      </c>
      <c r="AD166" s="27">
        <v>4</v>
      </c>
      <c r="AE166" s="27">
        <v>3</v>
      </c>
      <c r="AF166" s="31">
        <v>0.6</v>
      </c>
      <c r="AG166" s="15">
        <v>53.27334781259696</v>
      </c>
      <c r="AH166" s="44">
        <v>4.8</v>
      </c>
      <c r="AI166" s="44">
        <v>4.8</v>
      </c>
      <c r="AJ166" s="44">
        <v>18</v>
      </c>
      <c r="AK166" s="44">
        <v>2.6</v>
      </c>
      <c r="AL166" s="44">
        <v>2.6</v>
      </c>
      <c r="AM166" s="44">
        <v>11</v>
      </c>
      <c r="AN166" s="19"/>
      <c r="AO166" s="19"/>
      <c r="AP166" s="84">
        <v>517</v>
      </c>
      <c r="AQ166" s="60">
        <v>8258</v>
      </c>
      <c r="AR166" s="60">
        <v>2730</v>
      </c>
      <c r="AS166" s="60">
        <v>2132</v>
      </c>
      <c r="AT166" s="60">
        <v>9465.7343999999994</v>
      </c>
      <c r="AU166" s="24">
        <v>22816</v>
      </c>
      <c r="AV166" s="60">
        <v>7052.7344786140866</v>
      </c>
      <c r="AW166" s="24">
        <v>6621.2</v>
      </c>
      <c r="AX166" s="24">
        <v>6050</v>
      </c>
      <c r="AY166" s="60">
        <v>390.55</v>
      </c>
      <c r="AZ166" s="60">
        <v>26.87</v>
      </c>
    </row>
    <row r="167" spans="1:52">
      <c r="A167" s="3" t="s">
        <v>165</v>
      </c>
      <c r="B167" s="7" t="s">
        <v>263</v>
      </c>
      <c r="C167" s="7" t="s">
        <v>261</v>
      </c>
      <c r="D167" s="15">
        <v>13.860369609856264</v>
      </c>
      <c r="E167" s="15">
        <v>53.12</v>
      </c>
      <c r="F167" s="15" t="s">
        <v>280</v>
      </c>
      <c r="G167" s="12">
        <v>4053.8466816141326</v>
      </c>
      <c r="H167" s="12">
        <v>2025</v>
      </c>
      <c r="I167" s="12">
        <v>2029</v>
      </c>
      <c r="J167" s="15">
        <v>4.4000000000000004</v>
      </c>
      <c r="K167" s="15">
        <v>6.6</v>
      </c>
      <c r="L167" s="15">
        <v>8.4</v>
      </c>
      <c r="M167" s="15">
        <v>9.5</v>
      </c>
      <c r="N167" s="15">
        <v>14.158855451406019</v>
      </c>
      <c r="O167" s="15">
        <v>9.8914652195362613</v>
      </c>
      <c r="P167" s="15">
        <v>21.336951159348789</v>
      </c>
      <c r="Q167" s="15">
        <v>6.5</v>
      </c>
      <c r="R167" s="15">
        <v>19.2</v>
      </c>
      <c r="S167" s="15">
        <v>25.1</v>
      </c>
      <c r="T167" s="15">
        <v>9.1999999999999993</v>
      </c>
      <c r="U167" s="12">
        <v>-1</v>
      </c>
      <c r="V167" s="12">
        <v>41</v>
      </c>
      <c r="W167" s="15">
        <v>12.2</v>
      </c>
      <c r="X167" s="15">
        <v>11.4</v>
      </c>
      <c r="Y167" s="24">
        <v>31</v>
      </c>
      <c r="Z167" s="19">
        <v>15.7</v>
      </c>
      <c r="AA167" s="19">
        <v>10.1</v>
      </c>
      <c r="AB167" s="19">
        <v>18</v>
      </c>
      <c r="AC167" s="49">
        <v>10</v>
      </c>
      <c r="AD167" s="27">
        <v>10</v>
      </c>
      <c r="AE167" s="27">
        <v>9</v>
      </c>
      <c r="AF167" s="31">
        <v>0</v>
      </c>
      <c r="AG167" s="15">
        <v>67.377666248431623</v>
      </c>
      <c r="AH167" s="44">
        <v>12.6</v>
      </c>
      <c r="AI167" s="44">
        <v>11.7</v>
      </c>
      <c r="AJ167" s="44">
        <v>41</v>
      </c>
      <c r="AK167" s="44">
        <v>22.6</v>
      </c>
      <c r="AL167" s="44">
        <v>22.6</v>
      </c>
      <c r="AM167" s="44">
        <v>86</v>
      </c>
      <c r="AN167" s="19"/>
      <c r="AO167" s="19"/>
      <c r="AP167" s="84">
        <v>0</v>
      </c>
      <c r="AQ167" s="60">
        <v>68317</v>
      </c>
      <c r="AR167" s="60">
        <v>33327</v>
      </c>
      <c r="AS167" s="60">
        <v>29718</v>
      </c>
      <c r="AT167" s="60">
        <v>32370.550999999999</v>
      </c>
      <c r="AU167" s="24">
        <v>8611</v>
      </c>
      <c r="AV167" s="60">
        <v>18826.06965530631</v>
      </c>
      <c r="AW167" s="24">
        <v>34983.165999999997</v>
      </c>
      <c r="AX167" s="24">
        <v>30110.550999999999</v>
      </c>
      <c r="AY167" s="60">
        <v>3252.5459999999998</v>
      </c>
      <c r="AZ167" s="60">
        <v>0</v>
      </c>
    </row>
    <row r="168" spans="1:52">
      <c r="A168" s="3" t="s">
        <v>166</v>
      </c>
      <c r="B168" s="7" t="s">
        <v>263</v>
      </c>
      <c r="C168" s="7" t="s">
        <v>260</v>
      </c>
      <c r="D168" s="15">
        <v>17.265087853323145</v>
      </c>
      <c r="E168" s="15">
        <v>11.25</v>
      </c>
      <c r="F168" s="15">
        <v>99.9</v>
      </c>
      <c r="G168" s="12">
        <v>2805.6258017079331</v>
      </c>
      <c r="H168" s="12">
        <v>1424</v>
      </c>
      <c r="I168" s="12">
        <v>1382</v>
      </c>
      <c r="J168" s="15">
        <v>9.4</v>
      </c>
      <c r="K168" s="15">
        <v>10.199999999999999</v>
      </c>
      <c r="L168" s="15">
        <v>9.5</v>
      </c>
      <c r="M168" s="15">
        <v>10.3</v>
      </c>
      <c r="N168" s="15">
        <v>17.783321454027085</v>
      </c>
      <c r="O168" s="15">
        <v>22.808267997148967</v>
      </c>
      <c r="P168" s="15">
        <v>13.043478260869565</v>
      </c>
      <c r="Q168" s="15">
        <v>2.7</v>
      </c>
      <c r="R168" s="15">
        <v>4.2</v>
      </c>
      <c r="S168" s="15">
        <v>35.200000000000003</v>
      </c>
      <c r="T168" s="15">
        <v>1.4</v>
      </c>
      <c r="U168" s="12">
        <v>-6</v>
      </c>
      <c r="V168" s="12">
        <v>72</v>
      </c>
      <c r="W168" s="15" t="s">
        <v>280</v>
      </c>
      <c r="X168" s="15" t="s">
        <v>280</v>
      </c>
      <c r="Y168" s="24" t="s">
        <v>280</v>
      </c>
      <c r="Z168" s="19" t="s">
        <v>280</v>
      </c>
      <c r="AA168" s="19" t="s">
        <v>280</v>
      </c>
      <c r="AB168" s="19" t="s">
        <v>280</v>
      </c>
      <c r="AC168" s="49">
        <v>3</v>
      </c>
      <c r="AD168" s="27">
        <v>3</v>
      </c>
      <c r="AE168" s="27">
        <v>1</v>
      </c>
      <c r="AF168" s="31">
        <v>0</v>
      </c>
      <c r="AG168" s="15">
        <v>30.097613882863339</v>
      </c>
      <c r="AH168" s="44">
        <v>0</v>
      </c>
      <c r="AI168" s="44" t="s">
        <v>280</v>
      </c>
      <c r="AJ168" s="44" t="s">
        <v>280</v>
      </c>
      <c r="AK168" s="44" t="s">
        <v>280</v>
      </c>
      <c r="AL168" s="44" t="s">
        <v>280</v>
      </c>
      <c r="AM168" s="44" t="s">
        <v>280</v>
      </c>
      <c r="AN168" s="19"/>
      <c r="AO168" s="19"/>
      <c r="AP168" s="84">
        <v>0</v>
      </c>
      <c r="AQ168" s="60">
        <v>12023</v>
      </c>
      <c r="AR168" s="60">
        <v>2401</v>
      </c>
      <c r="AS168" s="60">
        <v>1953</v>
      </c>
      <c r="AT168" s="60">
        <v>2596.65</v>
      </c>
      <c r="AU168" s="24">
        <v>13541</v>
      </c>
      <c r="AV168" s="60">
        <v>9104.9205437337387</v>
      </c>
      <c r="AW168" s="24">
        <v>2757.1080000000002</v>
      </c>
      <c r="AX168" s="24">
        <v>2317.65</v>
      </c>
      <c r="AY168" s="60">
        <v>74.787999999999997</v>
      </c>
      <c r="AZ168" s="60">
        <v>6.9820000000000002</v>
      </c>
    </row>
    <row r="169" spans="1:52">
      <c r="A169" s="3" t="s">
        <v>167</v>
      </c>
      <c r="B169" s="7" t="s">
        <v>263</v>
      </c>
      <c r="C169" s="7" t="s">
        <v>261</v>
      </c>
      <c r="D169" s="15">
        <v>10.954975623745341</v>
      </c>
      <c r="E169" s="15">
        <v>62.78</v>
      </c>
      <c r="F169" s="15" t="s">
        <v>280</v>
      </c>
      <c r="G169" s="12">
        <v>7710.0961162083913</v>
      </c>
      <c r="H169" s="12">
        <v>3789</v>
      </c>
      <c r="I169" s="12">
        <v>3921</v>
      </c>
      <c r="J169" s="15">
        <v>4.8</v>
      </c>
      <c r="K169" s="15">
        <v>7.6</v>
      </c>
      <c r="L169" s="15">
        <v>9.5</v>
      </c>
      <c r="M169" s="15">
        <v>9.1999999999999993</v>
      </c>
      <c r="N169" s="15">
        <v>12.295719844357976</v>
      </c>
      <c r="O169" s="15">
        <v>13.138780804150455</v>
      </c>
      <c r="P169" s="15">
        <v>18.365758754863815</v>
      </c>
      <c r="Q169" s="15">
        <v>4.5999999999999996</v>
      </c>
      <c r="R169" s="15">
        <v>20.399999999999999</v>
      </c>
      <c r="S169" s="15">
        <v>27.8</v>
      </c>
      <c r="T169" s="15">
        <v>9.9</v>
      </c>
      <c r="U169" s="12">
        <v>58</v>
      </c>
      <c r="V169" s="12">
        <v>112</v>
      </c>
      <c r="W169" s="15">
        <v>6.5</v>
      </c>
      <c r="X169" s="15">
        <v>1.8</v>
      </c>
      <c r="Y169" s="24">
        <v>6</v>
      </c>
      <c r="Z169" s="19">
        <v>29</v>
      </c>
      <c r="AA169" s="19">
        <v>4.3</v>
      </c>
      <c r="AB169" s="19">
        <v>13</v>
      </c>
      <c r="AC169" s="49">
        <v>9</v>
      </c>
      <c r="AD169" s="27">
        <v>10</v>
      </c>
      <c r="AE169" s="27">
        <v>3</v>
      </c>
      <c r="AF169" s="31">
        <v>0.8</v>
      </c>
      <c r="AG169" s="15">
        <v>69.075579644685334</v>
      </c>
      <c r="AH169" s="44">
        <v>5.3</v>
      </c>
      <c r="AI169" s="44">
        <v>4.5</v>
      </c>
      <c r="AJ169" s="44">
        <v>18</v>
      </c>
      <c r="AK169" s="44">
        <v>3.9</v>
      </c>
      <c r="AL169" s="44">
        <v>3.3</v>
      </c>
      <c r="AM169" s="44">
        <v>10</v>
      </c>
      <c r="AN169" s="19"/>
      <c r="AO169" s="19"/>
      <c r="AP169" s="84">
        <v>0</v>
      </c>
      <c r="AQ169" s="60">
        <v>66771</v>
      </c>
      <c r="AR169" s="60">
        <v>41259</v>
      </c>
      <c r="AS169" s="60">
        <v>28863</v>
      </c>
      <c r="AT169" s="60">
        <v>29866</v>
      </c>
      <c r="AU169" s="24">
        <v>27575</v>
      </c>
      <c r="AV169" s="60">
        <v>12204.776514028172</v>
      </c>
      <c r="AW169" s="24">
        <v>44205</v>
      </c>
      <c r="AX169" s="24">
        <v>31459</v>
      </c>
      <c r="AY169" s="60">
        <v>6968</v>
      </c>
      <c r="AZ169" s="60">
        <v>4914</v>
      </c>
    </row>
    <row r="170" spans="1:52">
      <c r="A170" s="3" t="s">
        <v>168</v>
      </c>
      <c r="B170" s="7" t="s">
        <v>263</v>
      </c>
      <c r="C170" s="7" t="s">
        <v>260</v>
      </c>
      <c r="D170" s="15">
        <v>15.024121295658166</v>
      </c>
      <c r="E170" s="15">
        <v>24.84</v>
      </c>
      <c r="F170" s="15">
        <v>99.5</v>
      </c>
      <c r="G170" s="12">
        <v>5798.953881790665</v>
      </c>
      <c r="H170" s="12">
        <v>2924</v>
      </c>
      <c r="I170" s="12">
        <v>2874</v>
      </c>
      <c r="J170" s="15">
        <v>7.5</v>
      </c>
      <c r="K170" s="15">
        <v>8.1999999999999993</v>
      </c>
      <c r="L170" s="15">
        <v>8</v>
      </c>
      <c r="M170" s="15">
        <v>7.7</v>
      </c>
      <c r="N170" s="15">
        <v>15.968270391446801</v>
      </c>
      <c r="O170" s="15">
        <v>21.676151060527676</v>
      </c>
      <c r="P170" s="15">
        <v>16.10622521124332</v>
      </c>
      <c r="Q170" s="15">
        <v>4.8</v>
      </c>
      <c r="R170" s="15">
        <v>10.1</v>
      </c>
      <c r="S170" s="15">
        <v>28.2</v>
      </c>
      <c r="T170" s="15">
        <v>3.9</v>
      </c>
      <c r="U170" s="12">
        <v>-33</v>
      </c>
      <c r="V170" s="12">
        <v>136</v>
      </c>
      <c r="W170" s="15">
        <v>9.4</v>
      </c>
      <c r="X170" s="15">
        <v>9</v>
      </c>
      <c r="Y170" s="24">
        <v>32</v>
      </c>
      <c r="Z170" s="19">
        <v>6.6</v>
      </c>
      <c r="AA170" s="19">
        <v>6.6</v>
      </c>
      <c r="AB170" s="19">
        <v>27</v>
      </c>
      <c r="AC170" s="49">
        <v>5</v>
      </c>
      <c r="AD170" s="27">
        <v>5</v>
      </c>
      <c r="AE170" s="27">
        <v>3</v>
      </c>
      <c r="AF170" s="31">
        <v>1.4</v>
      </c>
      <c r="AG170" s="15">
        <v>64.462040055891947</v>
      </c>
      <c r="AH170" s="44">
        <v>9.9</v>
      </c>
      <c r="AI170" s="44">
        <v>9.6</v>
      </c>
      <c r="AJ170" s="44">
        <v>51</v>
      </c>
      <c r="AK170" s="44">
        <v>8.1999999999999993</v>
      </c>
      <c r="AL170" s="44">
        <v>8.1999999999999993</v>
      </c>
      <c r="AM170" s="44">
        <v>48</v>
      </c>
      <c r="AN170" s="19"/>
      <c r="AO170" s="19"/>
      <c r="AP170" s="84">
        <v>0</v>
      </c>
      <c r="AQ170" s="60">
        <v>14786</v>
      </c>
      <c r="AR170" s="60">
        <v>8407</v>
      </c>
      <c r="AS170" s="60">
        <v>6082</v>
      </c>
      <c r="AT170" s="60">
        <v>7332.67</v>
      </c>
      <c r="AU170" s="24">
        <v>23761</v>
      </c>
      <c r="AV170" s="60">
        <v>6643.0947348911213</v>
      </c>
      <c r="AW170" s="24">
        <v>10618.365</v>
      </c>
      <c r="AX170" s="24">
        <v>8762.67</v>
      </c>
      <c r="AY170" s="60">
        <v>1182.6199999999999</v>
      </c>
      <c r="AZ170" s="60">
        <v>244.03299999999999</v>
      </c>
    </row>
    <row r="171" spans="1:52">
      <c r="A171" s="3" t="s">
        <v>169</v>
      </c>
      <c r="B171" s="7" t="s">
        <v>263</v>
      </c>
      <c r="C171" s="7" t="s">
        <v>260</v>
      </c>
      <c r="D171" s="15">
        <v>12.125096129197642</v>
      </c>
      <c r="E171" s="15">
        <v>4.6100000000000003</v>
      </c>
      <c r="F171" s="15">
        <v>100</v>
      </c>
      <c r="G171" s="12">
        <v>8863.0336799631459</v>
      </c>
      <c r="H171" s="12">
        <v>4516</v>
      </c>
      <c r="I171" s="12">
        <v>4347</v>
      </c>
      <c r="J171" s="15">
        <v>10.6</v>
      </c>
      <c r="K171" s="15">
        <v>10.4</v>
      </c>
      <c r="L171" s="15">
        <v>9.8000000000000007</v>
      </c>
      <c r="M171" s="15">
        <v>9.6999999999999993</v>
      </c>
      <c r="N171" s="15">
        <v>19.271127157847229</v>
      </c>
      <c r="O171" s="15">
        <v>18.774681259167323</v>
      </c>
      <c r="P171" s="15">
        <v>14.498476813719959</v>
      </c>
      <c r="Q171" s="15">
        <v>2.7</v>
      </c>
      <c r="R171" s="15">
        <v>4.2</v>
      </c>
      <c r="S171" s="15">
        <v>36.5</v>
      </c>
      <c r="T171" s="15">
        <v>1.5</v>
      </c>
      <c r="U171" s="12">
        <v>33</v>
      </c>
      <c r="V171" s="12">
        <v>123</v>
      </c>
      <c r="W171" s="15">
        <v>31.1</v>
      </c>
      <c r="X171" s="15">
        <v>25</v>
      </c>
      <c r="Y171" s="24">
        <v>104</v>
      </c>
      <c r="Z171" s="19">
        <v>18.100000000000001</v>
      </c>
      <c r="AA171" s="19">
        <v>17.399999999999999</v>
      </c>
      <c r="AB171" s="19">
        <v>65</v>
      </c>
      <c r="AC171" s="49">
        <v>2</v>
      </c>
      <c r="AD171" s="27">
        <v>2</v>
      </c>
      <c r="AE171" s="27">
        <v>4</v>
      </c>
      <c r="AF171" s="31">
        <v>2.6</v>
      </c>
      <c r="AG171" s="15">
        <v>46.397896581945666</v>
      </c>
      <c r="AH171" s="44">
        <v>22.8</v>
      </c>
      <c r="AI171" s="44">
        <v>19.399999999999999</v>
      </c>
      <c r="AJ171" s="44">
        <v>75</v>
      </c>
      <c r="AK171" s="44">
        <v>21.5</v>
      </c>
      <c r="AL171" s="44">
        <v>15.7</v>
      </c>
      <c r="AM171" s="44">
        <v>67</v>
      </c>
      <c r="AN171" s="19"/>
      <c r="AO171" s="19"/>
      <c r="AP171" s="84">
        <v>0</v>
      </c>
      <c r="AQ171" s="60">
        <v>20533</v>
      </c>
      <c r="AR171" s="60">
        <v>7060</v>
      </c>
      <c r="AS171" s="60">
        <v>3964</v>
      </c>
      <c r="AT171" s="60">
        <v>6984</v>
      </c>
      <c r="AU171" s="24">
        <v>38991</v>
      </c>
      <c r="AV171" s="60">
        <v>8226.0772815096825</v>
      </c>
      <c r="AW171" s="24">
        <v>21588</v>
      </c>
      <c r="AX171" s="24">
        <v>15600</v>
      </c>
      <c r="AY171" s="60">
        <v>4391</v>
      </c>
      <c r="AZ171" s="60">
        <v>390</v>
      </c>
    </row>
    <row r="172" spans="1:52">
      <c r="A172" s="3" t="s">
        <v>170</v>
      </c>
      <c r="B172" s="7" t="s">
        <v>263</v>
      </c>
      <c r="C172" s="7" t="s">
        <v>260</v>
      </c>
      <c r="D172" s="15">
        <v>14.600888616516011</v>
      </c>
      <c r="E172" s="15">
        <v>11.85</v>
      </c>
      <c r="F172" s="15">
        <v>99.9</v>
      </c>
      <c r="G172" s="12">
        <v>13930.526286148257</v>
      </c>
      <c r="H172" s="12">
        <v>7074</v>
      </c>
      <c r="I172" s="12">
        <v>6856</v>
      </c>
      <c r="J172" s="15">
        <v>9.3000000000000007</v>
      </c>
      <c r="K172" s="15">
        <v>9</v>
      </c>
      <c r="L172" s="15">
        <v>8.9</v>
      </c>
      <c r="M172" s="15">
        <v>9.1</v>
      </c>
      <c r="N172" s="15">
        <v>20.041633766420215</v>
      </c>
      <c r="O172" s="15">
        <v>18.297322518125046</v>
      </c>
      <c r="P172" s="15">
        <v>16.086425956499891</v>
      </c>
      <c r="Q172" s="15">
        <v>3.6</v>
      </c>
      <c r="R172" s="15">
        <v>5.7</v>
      </c>
      <c r="S172" s="15">
        <v>32.299999999999997</v>
      </c>
      <c r="T172" s="15">
        <v>1.7</v>
      </c>
      <c r="U172" s="12">
        <v>-35</v>
      </c>
      <c r="V172" s="12">
        <v>259</v>
      </c>
      <c r="W172" s="15">
        <v>15.8</v>
      </c>
      <c r="X172" s="15">
        <v>14.8</v>
      </c>
      <c r="Y172" s="24">
        <v>62</v>
      </c>
      <c r="Z172" s="19">
        <v>14.9</v>
      </c>
      <c r="AA172" s="19">
        <v>12.8</v>
      </c>
      <c r="AB172" s="19">
        <v>51</v>
      </c>
      <c r="AC172" s="49">
        <v>3</v>
      </c>
      <c r="AD172" s="27">
        <v>2</v>
      </c>
      <c r="AE172" s="27">
        <v>4</v>
      </c>
      <c r="AF172" s="31">
        <v>0</v>
      </c>
      <c r="AG172" s="15">
        <v>52.064409578860449</v>
      </c>
      <c r="AH172" s="44">
        <v>17.8</v>
      </c>
      <c r="AI172" s="44">
        <v>16.8</v>
      </c>
      <c r="AJ172" s="44">
        <v>73</v>
      </c>
      <c r="AK172" s="44">
        <v>15.7</v>
      </c>
      <c r="AL172" s="44">
        <v>14.2</v>
      </c>
      <c r="AM172" s="44">
        <v>61</v>
      </c>
      <c r="AN172" s="19"/>
      <c r="AO172" s="19"/>
      <c r="AP172" s="84">
        <v>0</v>
      </c>
      <c r="AQ172" s="60">
        <v>21133</v>
      </c>
      <c r="AR172" s="60">
        <v>9865</v>
      </c>
      <c r="AS172" s="60">
        <v>8778</v>
      </c>
      <c r="AT172" s="60">
        <v>24771</v>
      </c>
      <c r="AU172" s="24">
        <v>71239</v>
      </c>
      <c r="AV172" s="60">
        <v>6628.3210054894917</v>
      </c>
      <c r="AW172" s="24">
        <v>17174</v>
      </c>
      <c r="AX172" s="24">
        <v>16040</v>
      </c>
      <c r="AY172" s="60">
        <v>1000.48</v>
      </c>
      <c r="AZ172" s="60">
        <v>0</v>
      </c>
    </row>
    <row r="173" spans="1:52">
      <c r="A173" s="3" t="s">
        <v>171</v>
      </c>
      <c r="B173" s="7" t="s">
        <v>263</v>
      </c>
      <c r="C173" s="7" t="s">
        <v>260</v>
      </c>
      <c r="D173" s="15">
        <v>12.283594394064304</v>
      </c>
      <c r="E173" s="15">
        <v>9.89</v>
      </c>
      <c r="F173" s="15">
        <v>100</v>
      </c>
      <c r="G173" s="12">
        <v>2190.2464315704187</v>
      </c>
      <c r="H173" s="12">
        <v>1132</v>
      </c>
      <c r="I173" s="12">
        <v>1058</v>
      </c>
      <c r="J173" s="15">
        <v>8.1</v>
      </c>
      <c r="K173" s="15">
        <v>7.7</v>
      </c>
      <c r="L173" s="15">
        <v>9.6</v>
      </c>
      <c r="M173" s="15">
        <v>8.4</v>
      </c>
      <c r="N173" s="15">
        <v>15.616438356164384</v>
      </c>
      <c r="O173" s="15">
        <v>21.232876712328768</v>
      </c>
      <c r="P173" s="15">
        <v>18.401826484018265</v>
      </c>
      <c r="Q173" s="15">
        <v>3.7</v>
      </c>
      <c r="R173" s="15">
        <v>7.3</v>
      </c>
      <c r="S173" s="15">
        <v>30.2</v>
      </c>
      <c r="T173" s="15">
        <v>2.2999999999999998</v>
      </c>
      <c r="U173" s="12">
        <v>-5</v>
      </c>
      <c r="V173" s="12">
        <v>64</v>
      </c>
      <c r="W173" s="15">
        <v>8.3000000000000007</v>
      </c>
      <c r="X173" s="15">
        <v>3.3</v>
      </c>
      <c r="Y173" s="24">
        <v>11</v>
      </c>
      <c r="Z173" s="19">
        <v>5.8</v>
      </c>
      <c r="AA173" s="19">
        <v>3.2</v>
      </c>
      <c r="AB173" s="19">
        <v>13</v>
      </c>
      <c r="AC173" s="49">
        <v>3</v>
      </c>
      <c r="AD173" s="27">
        <v>3</v>
      </c>
      <c r="AE173" s="27">
        <v>1</v>
      </c>
      <c r="AF173" s="31">
        <v>0</v>
      </c>
      <c r="AG173" s="15">
        <v>14.975845410628018</v>
      </c>
      <c r="AH173" s="44">
        <v>2.2999999999999998</v>
      </c>
      <c r="AI173" s="44">
        <v>2.2999999999999998</v>
      </c>
      <c r="AJ173" s="44">
        <v>11</v>
      </c>
      <c r="AK173" s="44">
        <v>2.5</v>
      </c>
      <c r="AL173" s="44">
        <v>2.5</v>
      </c>
      <c r="AM173" s="44">
        <v>11</v>
      </c>
      <c r="AN173" s="19"/>
      <c r="AO173" s="19"/>
      <c r="AP173" s="84">
        <v>0</v>
      </c>
      <c r="AQ173" s="60">
        <v>12273</v>
      </c>
      <c r="AR173" s="60">
        <v>2674</v>
      </c>
      <c r="AS173" s="60">
        <v>1997</v>
      </c>
      <c r="AT173" s="60">
        <v>4129.7550000000001</v>
      </c>
      <c r="AU173" s="24">
        <v>16356</v>
      </c>
      <c r="AV173" s="60">
        <v>12918.637643761542</v>
      </c>
      <c r="AW173" s="24">
        <v>3819.5210099999999</v>
      </c>
      <c r="AX173" s="24">
        <v>3137.7550000000001</v>
      </c>
      <c r="AY173" s="60">
        <v>253.15</v>
      </c>
      <c r="AZ173" s="60">
        <v>7.5012999999999996</v>
      </c>
    </row>
    <row r="174" spans="1:52">
      <c r="A174" s="3" t="s">
        <v>172</v>
      </c>
      <c r="B174" s="7" t="s">
        <v>263</v>
      </c>
      <c r="C174" s="7" t="s">
        <v>261</v>
      </c>
      <c r="D174" s="15">
        <v>9.4140882159315336</v>
      </c>
      <c r="E174" s="15">
        <v>8.3000000000000007</v>
      </c>
      <c r="F174" s="15" t="s">
        <v>280</v>
      </c>
      <c r="G174" s="12">
        <v>4656.0861218562195</v>
      </c>
      <c r="H174" s="12">
        <v>2328</v>
      </c>
      <c r="I174" s="12">
        <v>2329</v>
      </c>
      <c r="J174" s="15">
        <v>20</v>
      </c>
      <c r="K174" s="15">
        <v>16.8</v>
      </c>
      <c r="L174" s="15">
        <v>10.8</v>
      </c>
      <c r="M174" s="15">
        <v>6.9</v>
      </c>
      <c r="N174" s="15">
        <v>17.461340206185564</v>
      </c>
      <c r="O174" s="15">
        <v>14.239690721649485</v>
      </c>
      <c r="P174" s="15">
        <v>7.2594501718213067</v>
      </c>
      <c r="Q174" s="15">
        <v>2.8</v>
      </c>
      <c r="R174" s="15">
        <v>4</v>
      </c>
      <c r="S174" s="15">
        <v>51.7</v>
      </c>
      <c r="T174" s="15">
        <v>0.9</v>
      </c>
      <c r="U174" s="12">
        <v>168</v>
      </c>
      <c r="V174" s="12">
        <v>101</v>
      </c>
      <c r="W174" s="15">
        <v>0.1</v>
      </c>
      <c r="X174" s="15">
        <v>0.1</v>
      </c>
      <c r="Y174" s="24" t="s">
        <v>280</v>
      </c>
      <c r="Z174" s="19">
        <v>2</v>
      </c>
      <c r="AA174" s="19">
        <v>0.7</v>
      </c>
      <c r="AB174" s="19">
        <v>3</v>
      </c>
      <c r="AC174" s="49">
        <v>2</v>
      </c>
      <c r="AD174" s="27">
        <v>2</v>
      </c>
      <c r="AE174" s="27">
        <v>5</v>
      </c>
      <c r="AF174" s="31">
        <v>2.6</v>
      </c>
      <c r="AG174" s="15">
        <v>75.808336579664982</v>
      </c>
      <c r="AH174" s="44" t="s">
        <v>280</v>
      </c>
      <c r="AI174" s="44" t="s">
        <v>280</v>
      </c>
      <c r="AJ174" s="44" t="s">
        <v>280</v>
      </c>
      <c r="AK174" s="44" t="s">
        <v>280</v>
      </c>
      <c r="AL174" s="44" t="s">
        <v>280</v>
      </c>
      <c r="AM174" s="44" t="s">
        <v>280</v>
      </c>
      <c r="AN174" s="19"/>
      <c r="AO174" s="19"/>
      <c r="AP174" s="84">
        <v>0</v>
      </c>
      <c r="AQ174" s="60">
        <v>17941</v>
      </c>
      <c r="AR174" s="60">
        <v>8771</v>
      </c>
      <c r="AS174" s="60">
        <v>2605</v>
      </c>
      <c r="AT174" s="60">
        <v>4561</v>
      </c>
      <c r="AU174" s="24">
        <v>35898</v>
      </c>
      <c r="AV174" s="60">
        <v>11431.704355756256</v>
      </c>
      <c r="AW174" s="24">
        <v>10864</v>
      </c>
      <c r="AX174" s="24">
        <v>4535</v>
      </c>
      <c r="AY174" s="60">
        <v>620</v>
      </c>
      <c r="AZ174" s="60">
        <v>4577</v>
      </c>
    </row>
    <row r="175" spans="1:52">
      <c r="A175" s="3" t="s">
        <v>173</v>
      </c>
      <c r="B175" s="7" t="s">
        <v>263</v>
      </c>
      <c r="C175" s="7" t="s">
        <v>260</v>
      </c>
      <c r="D175" s="15">
        <v>14.809803037137273</v>
      </c>
      <c r="E175" s="15">
        <v>16.440000000000001</v>
      </c>
      <c r="F175" s="15">
        <v>98.1</v>
      </c>
      <c r="G175" s="12">
        <v>12896.050399582984</v>
      </c>
      <c r="H175" s="12">
        <v>6498</v>
      </c>
      <c r="I175" s="12">
        <v>6398</v>
      </c>
      <c r="J175" s="15">
        <v>7.1</v>
      </c>
      <c r="K175" s="15">
        <v>7.5</v>
      </c>
      <c r="L175" s="15">
        <v>7.6</v>
      </c>
      <c r="M175" s="15">
        <v>8</v>
      </c>
      <c r="N175" s="15">
        <v>15.531947890818859</v>
      </c>
      <c r="O175" s="15">
        <v>21.510545905707197</v>
      </c>
      <c r="P175" s="15">
        <v>18.540632754342433</v>
      </c>
      <c r="Q175" s="15">
        <v>4.5999999999999996</v>
      </c>
      <c r="R175" s="15">
        <v>9.6999999999999993</v>
      </c>
      <c r="S175" s="15">
        <v>26.9</v>
      </c>
      <c r="T175" s="15">
        <v>3.4</v>
      </c>
      <c r="U175" s="12">
        <v>67</v>
      </c>
      <c r="V175" s="12">
        <v>350</v>
      </c>
      <c r="W175" s="15">
        <v>2</v>
      </c>
      <c r="X175" s="15">
        <v>1.5</v>
      </c>
      <c r="Y175" s="24">
        <v>5</v>
      </c>
      <c r="Z175" s="19">
        <v>3.6</v>
      </c>
      <c r="AA175" s="19">
        <v>3.6</v>
      </c>
      <c r="AB175" s="19">
        <v>19</v>
      </c>
      <c r="AC175" s="49">
        <v>5</v>
      </c>
      <c r="AD175" s="27">
        <v>5</v>
      </c>
      <c r="AE175" s="27">
        <v>4</v>
      </c>
      <c r="AF175" s="31">
        <v>0.2</v>
      </c>
      <c r="AG175" s="15">
        <v>51.746861924686193</v>
      </c>
      <c r="AH175" s="44">
        <v>6.9</v>
      </c>
      <c r="AI175" s="44">
        <v>5.7</v>
      </c>
      <c r="AJ175" s="44">
        <v>36</v>
      </c>
      <c r="AK175" s="44">
        <v>6.5</v>
      </c>
      <c r="AL175" s="44">
        <v>4.8</v>
      </c>
      <c r="AM175" s="44">
        <v>24</v>
      </c>
      <c r="AN175" s="19"/>
      <c r="AO175" s="19"/>
      <c r="AP175" s="84">
        <v>0</v>
      </c>
      <c r="AQ175" s="60">
        <v>37133</v>
      </c>
      <c r="AR175" s="60">
        <v>15758</v>
      </c>
      <c r="AS175" s="60">
        <v>12503</v>
      </c>
      <c r="AT175" s="60">
        <v>26343.812999999998</v>
      </c>
      <c r="AU175" s="24">
        <v>60836</v>
      </c>
      <c r="AV175" s="60">
        <v>7546.5741048241434</v>
      </c>
      <c r="AW175" s="24">
        <v>24536.653999999999</v>
      </c>
      <c r="AX175" s="24">
        <v>20038.467000000001</v>
      </c>
      <c r="AY175" s="60">
        <v>3720.453</v>
      </c>
      <c r="AZ175" s="60">
        <v>12.779</v>
      </c>
    </row>
    <row r="176" spans="1:52">
      <c r="A176" s="3" t="s">
        <v>174</v>
      </c>
      <c r="B176" s="7" t="s">
        <v>263</v>
      </c>
      <c r="C176" s="7" t="s">
        <v>260</v>
      </c>
      <c r="D176" s="15">
        <v>14.993093188821591</v>
      </c>
      <c r="E176" s="15">
        <v>17.829999999999998</v>
      </c>
      <c r="F176" s="15">
        <v>99.8</v>
      </c>
      <c r="G176" s="12">
        <v>26146.640465348395</v>
      </c>
      <c r="H176" s="12">
        <v>13252</v>
      </c>
      <c r="I176" s="12">
        <v>12895</v>
      </c>
      <c r="J176" s="15">
        <v>9.4</v>
      </c>
      <c r="K176" s="15">
        <v>8.5</v>
      </c>
      <c r="L176" s="15">
        <v>10</v>
      </c>
      <c r="M176" s="15">
        <v>10.199999999999999</v>
      </c>
      <c r="N176" s="15">
        <v>17.416912074042912</v>
      </c>
      <c r="O176" s="15">
        <v>18.36157111714537</v>
      </c>
      <c r="P176" s="15">
        <v>16.082150915975063</v>
      </c>
      <c r="Q176" s="15">
        <v>3.5</v>
      </c>
      <c r="R176" s="15">
        <v>6.5</v>
      </c>
      <c r="S176" s="15">
        <v>33.799999999999997</v>
      </c>
      <c r="T176" s="15">
        <v>2.6</v>
      </c>
      <c r="U176" s="12">
        <v>22</v>
      </c>
      <c r="V176" s="12">
        <v>391</v>
      </c>
      <c r="W176" s="15">
        <v>14.5</v>
      </c>
      <c r="X176" s="15">
        <v>13.5</v>
      </c>
      <c r="Y176" s="24">
        <v>67</v>
      </c>
      <c r="Z176" s="19">
        <v>4.5</v>
      </c>
      <c r="AA176" s="19">
        <v>3.2</v>
      </c>
      <c r="AB176" s="19">
        <v>14</v>
      </c>
      <c r="AC176" s="49">
        <v>4</v>
      </c>
      <c r="AD176" s="27">
        <v>3</v>
      </c>
      <c r="AE176" s="27">
        <v>5</v>
      </c>
      <c r="AF176" s="31">
        <v>0.2</v>
      </c>
      <c r="AG176" s="15">
        <v>52.450945917434424</v>
      </c>
      <c r="AH176" s="44">
        <v>15.2</v>
      </c>
      <c r="AI176" s="44">
        <v>2.2000000000000002</v>
      </c>
      <c r="AJ176" s="44">
        <v>11</v>
      </c>
      <c r="AK176" s="44">
        <v>6.9</v>
      </c>
      <c r="AL176" s="44">
        <v>5</v>
      </c>
      <c r="AM176" s="44">
        <v>21</v>
      </c>
      <c r="AN176" s="19"/>
      <c r="AO176" s="19"/>
      <c r="AP176" s="84">
        <v>0</v>
      </c>
      <c r="AQ176" s="60">
        <v>38618</v>
      </c>
      <c r="AR176" s="60">
        <v>19469</v>
      </c>
      <c r="AS176" s="60">
        <v>15906</v>
      </c>
      <c r="AT176" s="60">
        <v>45659</v>
      </c>
      <c r="AU176" s="24">
        <v>91818</v>
      </c>
      <c r="AV176" s="60">
        <v>5002.975436686068</v>
      </c>
      <c r="AW176" s="24">
        <v>31515</v>
      </c>
      <c r="AX176" s="24">
        <v>26334</v>
      </c>
      <c r="AY176" s="60">
        <v>2880</v>
      </c>
      <c r="AZ176" s="60">
        <v>43</v>
      </c>
    </row>
    <row r="177" spans="1:52">
      <c r="A177" s="3" t="s">
        <v>175</v>
      </c>
      <c r="B177" s="7" t="s">
        <v>263</v>
      </c>
      <c r="C177" s="7" t="s">
        <v>260</v>
      </c>
      <c r="D177" s="15">
        <v>13.892236185229818</v>
      </c>
      <c r="E177" s="15">
        <v>8.3800000000000008</v>
      </c>
      <c r="F177" s="15">
        <v>99.9</v>
      </c>
      <c r="G177" s="12">
        <v>20380.707462710492</v>
      </c>
      <c r="H177" s="12">
        <v>10212</v>
      </c>
      <c r="I177" s="12">
        <v>10169</v>
      </c>
      <c r="J177" s="15">
        <v>17.2</v>
      </c>
      <c r="K177" s="15">
        <v>13.9</v>
      </c>
      <c r="L177" s="15">
        <v>13.2</v>
      </c>
      <c r="M177" s="15">
        <v>11.9</v>
      </c>
      <c r="N177" s="15">
        <v>19.032432167214562</v>
      </c>
      <c r="O177" s="15">
        <v>14.449732594082723</v>
      </c>
      <c r="P177" s="15">
        <v>7.3156371129974005</v>
      </c>
      <c r="Q177" s="15">
        <v>1.1000000000000001</v>
      </c>
      <c r="R177" s="15">
        <v>1.9</v>
      </c>
      <c r="S177" s="15">
        <v>51.2</v>
      </c>
      <c r="T177" s="15">
        <v>0.6</v>
      </c>
      <c r="U177" s="12">
        <v>-8</v>
      </c>
      <c r="V177" s="12">
        <v>326</v>
      </c>
      <c r="W177" s="15">
        <v>35.700000000000003</v>
      </c>
      <c r="X177" s="15">
        <v>33.700000000000003</v>
      </c>
      <c r="Y177" s="24">
        <v>108</v>
      </c>
      <c r="Z177" s="19">
        <v>21.7</v>
      </c>
      <c r="AA177" s="19">
        <v>12.3</v>
      </c>
      <c r="AB177" s="19">
        <v>41</v>
      </c>
      <c r="AC177" s="49">
        <v>1</v>
      </c>
      <c r="AD177" s="27">
        <v>1</v>
      </c>
      <c r="AE177" s="27">
        <v>2</v>
      </c>
      <c r="AF177" s="31">
        <v>0.3</v>
      </c>
      <c r="AG177" s="15">
        <v>57.185170054131341</v>
      </c>
      <c r="AH177" s="44">
        <v>7.1</v>
      </c>
      <c r="AI177" s="44">
        <v>5.4</v>
      </c>
      <c r="AJ177" s="44">
        <v>25</v>
      </c>
      <c r="AK177" s="44">
        <v>5.5</v>
      </c>
      <c r="AL177" s="44">
        <v>5</v>
      </c>
      <c r="AM177" s="44">
        <v>24</v>
      </c>
      <c r="AN177" s="19"/>
      <c r="AO177" s="19"/>
      <c r="AP177" s="84">
        <v>0</v>
      </c>
      <c r="AQ177" s="60">
        <v>23954</v>
      </c>
      <c r="AR177" s="60">
        <v>3038</v>
      </c>
      <c r="AS177" s="60">
        <v>1735</v>
      </c>
      <c r="AT177" s="60">
        <v>7047</v>
      </c>
      <c r="AU177" s="24">
        <v>82627</v>
      </c>
      <c r="AV177" s="60">
        <v>5245.2055550864043</v>
      </c>
      <c r="AW177" s="24">
        <v>11829.494000000001</v>
      </c>
      <c r="AX177" s="24">
        <v>10344</v>
      </c>
      <c r="AY177" s="60">
        <v>1236</v>
      </c>
      <c r="AZ177" s="60">
        <v>149</v>
      </c>
    </row>
    <row r="178" spans="1:52">
      <c r="A178" s="3" t="s">
        <v>176</v>
      </c>
      <c r="B178" s="7" t="s">
        <v>263</v>
      </c>
      <c r="C178" s="7" t="s">
        <v>260</v>
      </c>
      <c r="D178" s="15">
        <v>20.226637690158338</v>
      </c>
      <c r="E178" s="15">
        <v>9.99</v>
      </c>
      <c r="F178" s="15">
        <v>99.9</v>
      </c>
      <c r="G178" s="12">
        <v>13721.700733650972</v>
      </c>
      <c r="H178" s="12">
        <v>6897</v>
      </c>
      <c r="I178" s="12">
        <v>6825</v>
      </c>
      <c r="J178" s="15">
        <v>8.6</v>
      </c>
      <c r="K178" s="15">
        <v>10</v>
      </c>
      <c r="L178" s="15">
        <v>9.5</v>
      </c>
      <c r="M178" s="15">
        <v>9.1</v>
      </c>
      <c r="N178" s="15">
        <v>17.519312053636497</v>
      </c>
      <c r="O178" s="15">
        <v>20.346888208715932</v>
      </c>
      <c r="P178" s="15">
        <v>15.515231015886895</v>
      </c>
      <c r="Q178" s="15">
        <v>3.8</v>
      </c>
      <c r="R178" s="15">
        <v>5.7</v>
      </c>
      <c r="S178" s="15">
        <v>33.5</v>
      </c>
      <c r="T178" s="15">
        <v>2</v>
      </c>
      <c r="U178" s="12">
        <v>-23</v>
      </c>
      <c r="V178" s="12">
        <v>313</v>
      </c>
      <c r="W178" s="15">
        <v>15.5</v>
      </c>
      <c r="X178" s="15">
        <v>12.9</v>
      </c>
      <c r="Y178" s="24">
        <v>64</v>
      </c>
      <c r="Z178" s="24">
        <v>21.1</v>
      </c>
      <c r="AA178" s="24">
        <v>18.600000000000001</v>
      </c>
      <c r="AB178" s="24">
        <v>102</v>
      </c>
      <c r="AC178" s="49">
        <v>3</v>
      </c>
      <c r="AD178" s="27">
        <v>3</v>
      </c>
      <c r="AE178" s="27">
        <v>5</v>
      </c>
      <c r="AF178" s="31">
        <v>0</v>
      </c>
      <c r="AG178" s="15">
        <v>38.727193744569938</v>
      </c>
      <c r="AH178" s="44">
        <v>10.3</v>
      </c>
      <c r="AI178" s="44">
        <v>6.3</v>
      </c>
      <c r="AJ178" s="44">
        <v>38</v>
      </c>
      <c r="AK178" s="44">
        <v>14.1</v>
      </c>
      <c r="AL178" s="44">
        <v>9.5</v>
      </c>
      <c r="AM178" s="44">
        <v>55</v>
      </c>
      <c r="AN178" s="19"/>
      <c r="AO178" s="19"/>
      <c r="AP178" s="84">
        <v>0</v>
      </c>
      <c r="AQ178" s="60">
        <v>23217</v>
      </c>
      <c r="AR178" s="60">
        <v>8387</v>
      </c>
      <c r="AS178" s="60">
        <v>7583</v>
      </c>
      <c r="AT178" s="60">
        <v>22065.43</v>
      </c>
      <c r="AU178" s="24">
        <v>78835</v>
      </c>
      <c r="AV178" s="60">
        <v>7455.1254240028557</v>
      </c>
      <c r="AW178" s="24">
        <v>13631.73</v>
      </c>
      <c r="AX178" s="24">
        <v>12690.43</v>
      </c>
      <c r="AY178" s="60">
        <v>714.53</v>
      </c>
      <c r="AZ178" s="60">
        <v>29.6</v>
      </c>
    </row>
    <row r="179" spans="1:52">
      <c r="A179" s="3" t="s">
        <v>177</v>
      </c>
      <c r="B179" s="7" t="s">
        <v>263</v>
      </c>
      <c r="C179" s="7" t="s">
        <v>260</v>
      </c>
      <c r="D179" s="15">
        <v>14.199561403508772</v>
      </c>
      <c r="E179" s="15">
        <v>27.1</v>
      </c>
      <c r="F179" s="15">
        <v>99.7</v>
      </c>
      <c r="G179" s="12">
        <v>3254.7767700505692</v>
      </c>
      <c r="H179" s="12">
        <v>1658</v>
      </c>
      <c r="I179" s="12">
        <v>1597</v>
      </c>
      <c r="J179" s="15">
        <v>6.8</v>
      </c>
      <c r="K179" s="15">
        <v>8.1</v>
      </c>
      <c r="L179" s="15">
        <v>6</v>
      </c>
      <c r="M179" s="15">
        <v>6.5</v>
      </c>
      <c r="N179" s="15">
        <v>15.299539170506913</v>
      </c>
      <c r="O179" s="15">
        <v>21.874039938556066</v>
      </c>
      <c r="P179" s="15">
        <v>18.70967741935484</v>
      </c>
      <c r="Q179" s="15">
        <v>5.0999999999999996</v>
      </c>
      <c r="R179" s="15">
        <v>11.7</v>
      </c>
      <c r="S179" s="15">
        <v>24.8</v>
      </c>
      <c r="T179" s="15">
        <v>4.4000000000000004</v>
      </c>
      <c r="U179" s="12">
        <v>-8</v>
      </c>
      <c r="V179" s="12">
        <v>76</v>
      </c>
      <c r="W179" s="15">
        <v>8</v>
      </c>
      <c r="X179" s="15">
        <v>6.5</v>
      </c>
      <c r="Y179" s="24">
        <v>25</v>
      </c>
      <c r="Z179" s="19">
        <v>2.5</v>
      </c>
      <c r="AA179" s="19">
        <v>2.5</v>
      </c>
      <c r="AB179" s="19">
        <v>8</v>
      </c>
      <c r="AC179" s="49">
        <v>7</v>
      </c>
      <c r="AD179" s="27">
        <v>6</v>
      </c>
      <c r="AE179" s="27">
        <v>2</v>
      </c>
      <c r="AF179" s="31">
        <v>0.1</v>
      </c>
      <c r="AG179" s="15">
        <v>46.501295816364305</v>
      </c>
      <c r="AH179" s="44">
        <v>3</v>
      </c>
      <c r="AI179" s="44">
        <v>2.2999999999999998</v>
      </c>
      <c r="AJ179" s="44">
        <v>11</v>
      </c>
      <c r="AK179" s="44">
        <v>3.2</v>
      </c>
      <c r="AL179" s="44">
        <v>3.1</v>
      </c>
      <c r="AM179" s="44">
        <v>12</v>
      </c>
      <c r="AN179" s="19"/>
      <c r="AO179" s="19"/>
      <c r="AP179" s="84">
        <v>0</v>
      </c>
      <c r="AQ179" s="60">
        <v>7437</v>
      </c>
      <c r="AR179" s="60">
        <v>3876</v>
      </c>
      <c r="AS179" s="60">
        <v>3401</v>
      </c>
      <c r="AT179" s="60">
        <v>5528.4960000000001</v>
      </c>
      <c r="AU179" s="24">
        <v>17201</v>
      </c>
      <c r="AV179" s="60">
        <v>7764.5877998592669</v>
      </c>
      <c r="AW179" s="24">
        <v>5411.2709999999997</v>
      </c>
      <c r="AX179" s="24">
        <v>4854.4960000000001</v>
      </c>
      <c r="AY179" s="60">
        <v>325.01900000000001</v>
      </c>
      <c r="AZ179" s="60">
        <v>6.9290000000000003</v>
      </c>
    </row>
    <row r="180" spans="1:52">
      <c r="A180" s="3" t="s">
        <v>178</v>
      </c>
      <c r="B180" s="7" t="s">
        <v>263</v>
      </c>
      <c r="C180" s="7" t="s">
        <v>260</v>
      </c>
      <c r="D180" s="15">
        <v>18.338461538461541</v>
      </c>
      <c r="E180" s="15">
        <v>23.77</v>
      </c>
      <c r="F180" s="15">
        <v>100</v>
      </c>
      <c r="G180" s="12">
        <v>6104.2297492084363</v>
      </c>
      <c r="H180" s="12">
        <v>3114</v>
      </c>
      <c r="I180" s="12">
        <v>2990</v>
      </c>
      <c r="J180" s="15">
        <v>6.5</v>
      </c>
      <c r="K180" s="15">
        <v>8</v>
      </c>
      <c r="L180" s="15">
        <v>7.4</v>
      </c>
      <c r="M180" s="15">
        <v>7.7</v>
      </c>
      <c r="N180" s="15">
        <v>17.021625163826997</v>
      </c>
      <c r="O180" s="15">
        <v>21.707077326343381</v>
      </c>
      <c r="P180" s="15">
        <v>17.169069462647442</v>
      </c>
      <c r="Q180" s="15">
        <v>5</v>
      </c>
      <c r="R180" s="15">
        <v>9.6</v>
      </c>
      <c r="S180" s="15">
        <v>26.1</v>
      </c>
      <c r="T180" s="15">
        <v>3.5</v>
      </c>
      <c r="U180" s="12">
        <v>32</v>
      </c>
      <c r="V180" s="12">
        <v>121</v>
      </c>
      <c r="W180" s="15">
        <v>4.9000000000000004</v>
      </c>
      <c r="X180" s="15">
        <v>3.3</v>
      </c>
      <c r="Y180" s="24">
        <v>9</v>
      </c>
      <c r="Z180" s="19">
        <v>7.9</v>
      </c>
      <c r="AA180" s="19">
        <v>4.2</v>
      </c>
      <c r="AB180" s="19">
        <v>15</v>
      </c>
      <c r="AC180" s="49">
        <v>5</v>
      </c>
      <c r="AD180" s="27">
        <v>5</v>
      </c>
      <c r="AE180" s="27">
        <v>3</v>
      </c>
      <c r="AF180" s="31">
        <v>1.1000000000000001</v>
      </c>
      <c r="AG180" s="15">
        <v>62.190127182582458</v>
      </c>
      <c r="AH180" s="44">
        <v>4.5999999999999996</v>
      </c>
      <c r="AI180" s="44">
        <v>4.5999999999999996</v>
      </c>
      <c r="AJ180" s="44">
        <v>20</v>
      </c>
      <c r="AK180" s="44">
        <v>3.4</v>
      </c>
      <c r="AL180" s="44">
        <v>3.4</v>
      </c>
      <c r="AM180" s="44">
        <v>13</v>
      </c>
      <c r="AN180" s="19"/>
      <c r="AO180" s="19"/>
      <c r="AP180" s="84">
        <v>0</v>
      </c>
      <c r="AQ180" s="60">
        <v>12087</v>
      </c>
      <c r="AR180" s="60">
        <v>7745</v>
      </c>
      <c r="AS180" s="60">
        <v>6138</v>
      </c>
      <c r="AT180" s="60">
        <v>12179.79</v>
      </c>
      <c r="AU180" s="24">
        <v>30974</v>
      </c>
      <c r="AV180" s="60">
        <v>7047.4083983451756</v>
      </c>
      <c r="AW180" s="24">
        <v>10601.259</v>
      </c>
      <c r="AX180" s="24">
        <v>8159.79</v>
      </c>
      <c r="AY180" s="60">
        <v>1555.51</v>
      </c>
      <c r="AZ180" s="60">
        <v>0</v>
      </c>
    </row>
    <row r="181" spans="1:52">
      <c r="A181" s="3" t="s">
        <v>179</v>
      </c>
      <c r="B181" s="7" t="s">
        <v>263</v>
      </c>
      <c r="C181" s="7" t="s">
        <v>261</v>
      </c>
      <c r="D181" s="15">
        <v>15.342157964147901</v>
      </c>
      <c r="E181" s="15">
        <v>45.32</v>
      </c>
      <c r="F181" s="15" t="s">
        <v>280</v>
      </c>
      <c r="G181" s="12">
        <v>44839.633369703428</v>
      </c>
      <c r="H181" s="12">
        <v>21953</v>
      </c>
      <c r="I181" s="12">
        <v>22887</v>
      </c>
      <c r="J181" s="15">
        <v>7.7</v>
      </c>
      <c r="K181" s="15">
        <v>9.8000000000000007</v>
      </c>
      <c r="L181" s="15">
        <v>9.5</v>
      </c>
      <c r="M181" s="15">
        <v>7.3</v>
      </c>
      <c r="N181" s="15">
        <v>10.249776984834968</v>
      </c>
      <c r="O181" s="15">
        <v>19.417930419268512</v>
      </c>
      <c r="P181" s="15">
        <v>18.702051739518289</v>
      </c>
      <c r="Q181" s="15">
        <v>4.4000000000000004</v>
      </c>
      <c r="R181" s="15">
        <v>12.9</v>
      </c>
      <c r="S181" s="15">
        <v>31.6</v>
      </c>
      <c r="T181" s="15">
        <v>5.2</v>
      </c>
      <c r="U181" s="12">
        <v>310</v>
      </c>
      <c r="V181" s="12">
        <v>1101</v>
      </c>
      <c r="W181" s="15">
        <v>59.3</v>
      </c>
      <c r="X181" s="15">
        <v>53.5</v>
      </c>
      <c r="Y181" s="24">
        <v>289</v>
      </c>
      <c r="Z181" s="19">
        <v>51.1</v>
      </c>
      <c r="AA181" s="19">
        <v>42.8</v>
      </c>
      <c r="AB181" s="19">
        <v>255</v>
      </c>
      <c r="AC181" s="49">
        <v>7</v>
      </c>
      <c r="AD181" s="27">
        <v>7</v>
      </c>
      <c r="AE181" s="27">
        <v>6</v>
      </c>
      <c r="AF181" s="31">
        <v>2.5</v>
      </c>
      <c r="AG181" s="15">
        <v>69.448002249226832</v>
      </c>
      <c r="AH181" s="44">
        <v>86.9</v>
      </c>
      <c r="AI181" s="44">
        <v>68.099999999999994</v>
      </c>
      <c r="AJ181" s="44">
        <v>382</v>
      </c>
      <c r="AK181" s="44">
        <v>63.2</v>
      </c>
      <c r="AL181" s="44">
        <v>58.4</v>
      </c>
      <c r="AM181" s="44">
        <v>339</v>
      </c>
      <c r="AN181" s="19"/>
      <c r="AO181" s="19"/>
      <c r="AP181" s="84">
        <v>0</v>
      </c>
      <c r="AQ181" s="60">
        <v>197536</v>
      </c>
      <c r="AR181" s="60">
        <v>116450</v>
      </c>
      <c r="AS181" s="60">
        <v>79606</v>
      </c>
      <c r="AT181" s="60">
        <v>96901</v>
      </c>
      <c r="AU181" s="24">
        <v>110946</v>
      </c>
      <c r="AV181" s="60">
        <v>6875.3015319768001</v>
      </c>
      <c r="AW181" s="24">
        <v>133793</v>
      </c>
      <c r="AX181" s="24">
        <v>90043</v>
      </c>
      <c r="AY181" s="60">
        <v>26318</v>
      </c>
      <c r="AZ181" s="60">
        <v>7094</v>
      </c>
    </row>
    <row r="182" spans="1:52">
      <c r="A182" s="3" t="s">
        <v>180</v>
      </c>
      <c r="B182" s="7" t="s">
        <v>263</v>
      </c>
      <c r="C182" s="7" t="s">
        <v>261</v>
      </c>
      <c r="D182" s="15">
        <v>16.140642303433001</v>
      </c>
      <c r="E182" s="15">
        <v>55.25</v>
      </c>
      <c r="F182" s="15" t="s">
        <v>280</v>
      </c>
      <c r="G182" s="12">
        <v>7421.1343969221425</v>
      </c>
      <c r="H182" s="12">
        <v>3759</v>
      </c>
      <c r="I182" s="12">
        <v>3662</v>
      </c>
      <c r="J182" s="15">
        <v>8.4</v>
      </c>
      <c r="K182" s="15">
        <v>9.8000000000000007</v>
      </c>
      <c r="L182" s="15">
        <v>8.1999999999999993</v>
      </c>
      <c r="M182" s="15">
        <v>6.8</v>
      </c>
      <c r="N182" s="15">
        <v>10.847594663791941</v>
      </c>
      <c r="O182" s="15">
        <v>20.307236221533486</v>
      </c>
      <c r="P182" s="15">
        <v>17.019269640210215</v>
      </c>
      <c r="Q182" s="15">
        <v>5.6</v>
      </c>
      <c r="R182" s="15">
        <v>13</v>
      </c>
      <c r="S182" s="15">
        <v>30.7</v>
      </c>
      <c r="T182" s="15">
        <v>3.2</v>
      </c>
      <c r="U182" s="12">
        <v>99</v>
      </c>
      <c r="V182" s="12">
        <v>177</v>
      </c>
      <c r="W182" s="15">
        <v>6.4</v>
      </c>
      <c r="X182" s="15">
        <v>4.2</v>
      </c>
      <c r="Y182" s="24">
        <v>16</v>
      </c>
      <c r="Z182" s="19">
        <v>7</v>
      </c>
      <c r="AA182" s="19">
        <v>7</v>
      </c>
      <c r="AB182" s="19">
        <v>32</v>
      </c>
      <c r="AC182" s="49">
        <v>9</v>
      </c>
      <c r="AD182" s="27">
        <v>9</v>
      </c>
      <c r="AE182" s="27">
        <v>6</v>
      </c>
      <c r="AF182" s="31">
        <v>0</v>
      </c>
      <c r="AG182" s="15">
        <v>76.476738107684255</v>
      </c>
      <c r="AH182" s="44">
        <v>16</v>
      </c>
      <c r="AI182" s="44">
        <v>15.8</v>
      </c>
      <c r="AJ182" s="44">
        <v>68</v>
      </c>
      <c r="AK182" s="44">
        <v>2.6</v>
      </c>
      <c r="AL182" s="44">
        <v>2.6</v>
      </c>
      <c r="AM182" s="44">
        <v>9</v>
      </c>
      <c r="AN182" s="19"/>
      <c r="AO182" s="19"/>
      <c r="AP182" s="84">
        <v>0</v>
      </c>
      <c r="AQ182" s="60">
        <v>32568</v>
      </c>
      <c r="AR182" s="60">
        <v>21950</v>
      </c>
      <c r="AS182" s="60">
        <v>20340</v>
      </c>
      <c r="AT182" s="60">
        <v>23091.2752</v>
      </c>
      <c r="AU182" s="24">
        <v>19317</v>
      </c>
      <c r="AV182" s="60">
        <v>6959.4296690570827</v>
      </c>
      <c r="AW182" s="24">
        <v>23736.206999999999</v>
      </c>
      <c r="AX182" s="24">
        <v>22001.043000000001</v>
      </c>
      <c r="AY182" s="60">
        <v>1481.279</v>
      </c>
      <c r="AZ182" s="60">
        <v>0</v>
      </c>
    </row>
    <row r="183" spans="1:52">
      <c r="A183" s="3" t="s">
        <v>181</v>
      </c>
      <c r="B183" s="7" t="s">
        <v>263</v>
      </c>
      <c r="C183" s="7" t="s">
        <v>261</v>
      </c>
      <c r="D183" s="15">
        <v>16.002379535990482</v>
      </c>
      <c r="E183" s="15">
        <v>56.2</v>
      </c>
      <c r="F183" s="15" t="s">
        <v>280</v>
      </c>
      <c r="G183" s="12">
        <v>4547.755322040678</v>
      </c>
      <c r="H183" s="12">
        <v>2242</v>
      </c>
      <c r="I183" s="12">
        <v>2306</v>
      </c>
      <c r="J183" s="15">
        <v>10.8</v>
      </c>
      <c r="K183" s="15">
        <v>13.1</v>
      </c>
      <c r="L183" s="15">
        <v>14.4</v>
      </c>
      <c r="M183" s="15">
        <v>9.6999999999999993</v>
      </c>
      <c r="N183" s="15">
        <v>12.642919964819702</v>
      </c>
      <c r="O183" s="15">
        <v>16.512752858399296</v>
      </c>
      <c r="P183" s="15">
        <v>10.773966578715919</v>
      </c>
      <c r="Q183" s="15">
        <v>2.8</v>
      </c>
      <c r="R183" s="15">
        <v>9.1999999999999993</v>
      </c>
      <c r="S183" s="15">
        <v>44.6</v>
      </c>
      <c r="T183" s="15">
        <v>2.7</v>
      </c>
      <c r="U183" s="12">
        <v>-90</v>
      </c>
      <c r="V183" s="12">
        <v>63</v>
      </c>
      <c r="W183" s="15" t="s">
        <v>280</v>
      </c>
      <c r="X183" s="15" t="s">
        <v>280</v>
      </c>
      <c r="Y183" s="24" t="s">
        <v>280</v>
      </c>
      <c r="Z183" s="19" t="s">
        <v>280</v>
      </c>
      <c r="AA183" s="19" t="s">
        <v>280</v>
      </c>
      <c r="AB183" s="19" t="s">
        <v>280</v>
      </c>
      <c r="AC183" s="49">
        <v>5</v>
      </c>
      <c r="AD183" s="27">
        <v>5</v>
      </c>
      <c r="AE183" s="27">
        <v>5</v>
      </c>
      <c r="AF183" s="31">
        <v>0.9</v>
      </c>
      <c r="AG183" s="15">
        <v>76.02209944751381</v>
      </c>
      <c r="AH183" s="44">
        <v>2.5</v>
      </c>
      <c r="AI183" s="44">
        <v>2.5</v>
      </c>
      <c r="AJ183" s="44">
        <v>5</v>
      </c>
      <c r="AK183" s="44">
        <v>2.2999999999999998</v>
      </c>
      <c r="AL183" s="44">
        <v>2.2999999999999998</v>
      </c>
      <c r="AM183" s="44">
        <v>9</v>
      </c>
      <c r="AN183" s="19"/>
      <c r="AO183" s="19"/>
      <c r="AP183" s="84">
        <v>1100</v>
      </c>
      <c r="AQ183" s="60">
        <v>25808</v>
      </c>
      <c r="AR183" s="60">
        <v>12703</v>
      </c>
      <c r="AS183" s="60">
        <v>7008</v>
      </c>
      <c r="AT183" s="60">
        <v>7862.692</v>
      </c>
      <c r="AU183" s="24">
        <v>36693</v>
      </c>
      <c r="AV183" s="60">
        <v>13979.863800471921</v>
      </c>
      <c r="AW183" s="24">
        <v>12342.837</v>
      </c>
      <c r="AX183" s="24">
        <v>7827.58</v>
      </c>
      <c r="AY183" s="60">
        <v>811.32</v>
      </c>
      <c r="AZ183" s="60">
        <v>2259.1669999999999</v>
      </c>
    </row>
    <row r="184" spans="1:52">
      <c r="A184" s="3" t="s">
        <v>182</v>
      </c>
      <c r="B184" s="7" t="s">
        <v>263</v>
      </c>
      <c r="C184" s="7" t="s">
        <v>261</v>
      </c>
      <c r="D184" s="15">
        <v>15.205337844187577</v>
      </c>
      <c r="E184" s="15">
        <v>52.34</v>
      </c>
      <c r="F184" s="15" t="s">
        <v>280</v>
      </c>
      <c r="G184" s="12">
        <v>23220.251189845898</v>
      </c>
      <c r="H184" s="12">
        <v>11590</v>
      </c>
      <c r="I184" s="12">
        <v>11630</v>
      </c>
      <c r="J184" s="15">
        <v>6.6</v>
      </c>
      <c r="K184" s="15">
        <v>8.6999999999999993</v>
      </c>
      <c r="L184" s="15">
        <v>9.9</v>
      </c>
      <c r="M184" s="15">
        <v>9.1</v>
      </c>
      <c r="N184" s="15">
        <v>13.01464254952627</v>
      </c>
      <c r="O184" s="15">
        <v>16.003445305770885</v>
      </c>
      <c r="P184" s="15">
        <v>21.65374677002584</v>
      </c>
      <c r="Q184" s="15">
        <v>5.3</v>
      </c>
      <c r="R184" s="15">
        <v>9.6999999999999993</v>
      </c>
      <c r="S184" s="15">
        <v>30.9</v>
      </c>
      <c r="T184" s="15">
        <v>3.8</v>
      </c>
      <c r="U184" s="12">
        <v>130</v>
      </c>
      <c r="V184" s="12">
        <v>274</v>
      </c>
      <c r="W184" s="15">
        <v>27.1</v>
      </c>
      <c r="X184" s="15">
        <v>10.4</v>
      </c>
      <c r="Y184" s="24">
        <v>32</v>
      </c>
      <c r="Z184" s="19">
        <v>19.7</v>
      </c>
      <c r="AA184" s="19">
        <v>18.7</v>
      </c>
      <c r="AB184" s="19">
        <v>78</v>
      </c>
      <c r="AC184" s="49">
        <v>8</v>
      </c>
      <c r="AD184" s="27">
        <v>8</v>
      </c>
      <c r="AE184" s="27">
        <v>6</v>
      </c>
      <c r="AF184" s="31">
        <v>1.4</v>
      </c>
      <c r="AG184" s="15">
        <v>74.215898546241874</v>
      </c>
      <c r="AH184" s="44">
        <v>27.8</v>
      </c>
      <c r="AI184" s="44">
        <v>26.6</v>
      </c>
      <c r="AJ184" s="44">
        <v>115</v>
      </c>
      <c r="AK184" s="44">
        <v>65.099999999999994</v>
      </c>
      <c r="AL184" s="44">
        <v>63.2</v>
      </c>
      <c r="AM184" s="44">
        <v>335</v>
      </c>
      <c r="AN184" s="19"/>
      <c r="AO184" s="19"/>
      <c r="AP184" s="84">
        <v>0</v>
      </c>
      <c r="AQ184" s="60">
        <v>90364</v>
      </c>
      <c r="AR184" s="60">
        <v>61355</v>
      </c>
      <c r="AS184" s="60">
        <v>50108</v>
      </c>
      <c r="AT184" s="60">
        <v>57457.364999999998</v>
      </c>
      <c r="AU184" s="24">
        <v>74306</v>
      </c>
      <c r="AV184" s="60">
        <v>7218.6988258464407</v>
      </c>
      <c r="AW184" s="24">
        <v>68590.831999999995</v>
      </c>
      <c r="AX184" s="24">
        <v>55449.364999999998</v>
      </c>
      <c r="AY184" s="60">
        <v>9832.5619999999999</v>
      </c>
      <c r="AZ184" s="60">
        <v>1572.8789999999999</v>
      </c>
    </row>
    <row r="185" spans="1:52">
      <c r="A185" s="3" t="s">
        <v>183</v>
      </c>
      <c r="B185" s="7" t="s">
        <v>263</v>
      </c>
      <c r="C185" s="7" t="s">
        <v>261</v>
      </c>
      <c r="D185" s="15">
        <v>17.590361445783131</v>
      </c>
      <c r="E185" s="15">
        <v>22.21</v>
      </c>
      <c r="F185" s="15" t="s">
        <v>280</v>
      </c>
      <c r="G185" s="12">
        <v>7876.4107715332138</v>
      </c>
      <c r="H185" s="12">
        <v>3850</v>
      </c>
      <c r="I185" s="12">
        <v>4027</v>
      </c>
      <c r="J185" s="15">
        <v>7.2</v>
      </c>
      <c r="K185" s="15">
        <v>8.1</v>
      </c>
      <c r="L185" s="15">
        <v>8.6</v>
      </c>
      <c r="M185" s="15">
        <v>7.1</v>
      </c>
      <c r="N185" s="15">
        <v>13.357034027425088</v>
      </c>
      <c r="O185" s="15">
        <v>17.166074149314372</v>
      </c>
      <c r="P185" s="15">
        <v>16.899441340782122</v>
      </c>
      <c r="Q185" s="15">
        <v>5.6</v>
      </c>
      <c r="R185" s="15">
        <v>16</v>
      </c>
      <c r="S185" s="15">
        <v>27.7</v>
      </c>
      <c r="T185" s="15">
        <v>6.2</v>
      </c>
      <c r="U185" s="12">
        <v>200</v>
      </c>
      <c r="V185" s="12">
        <v>277</v>
      </c>
      <c r="W185" s="15">
        <v>6.4</v>
      </c>
      <c r="X185" s="15">
        <v>5.7</v>
      </c>
      <c r="Y185" s="24">
        <v>32</v>
      </c>
      <c r="Z185" s="19">
        <v>9.8000000000000007</v>
      </c>
      <c r="AA185" s="19">
        <v>7.1</v>
      </c>
      <c r="AB185" s="19">
        <v>39</v>
      </c>
      <c r="AC185" s="49">
        <v>5</v>
      </c>
      <c r="AD185" s="27">
        <v>5</v>
      </c>
      <c r="AE185" s="27">
        <v>1</v>
      </c>
      <c r="AF185" s="31">
        <v>3.3</v>
      </c>
      <c r="AG185" s="15">
        <v>54.54545454545454</v>
      </c>
      <c r="AH185" s="44">
        <v>11.5</v>
      </c>
      <c r="AI185" s="44">
        <v>2.5</v>
      </c>
      <c r="AJ185" s="44">
        <v>9</v>
      </c>
      <c r="AK185" s="44">
        <v>5.7</v>
      </c>
      <c r="AL185" s="44">
        <v>3.8</v>
      </c>
      <c r="AM185" s="44">
        <v>15</v>
      </c>
      <c r="AN185" s="19"/>
      <c r="AO185" s="19"/>
      <c r="AP185" s="84">
        <v>0</v>
      </c>
      <c r="AQ185" s="60">
        <v>29750</v>
      </c>
      <c r="AR185" s="60">
        <v>18722</v>
      </c>
      <c r="AS185" s="60">
        <v>9007</v>
      </c>
      <c r="AT185" s="60">
        <v>9364.1049999999996</v>
      </c>
      <c r="AU185" s="24">
        <v>58517</v>
      </c>
      <c r="AV185" s="60">
        <v>10891.636112993227</v>
      </c>
      <c r="AW185" s="24">
        <v>22294.68</v>
      </c>
      <c r="AX185" s="24">
        <v>11659.105</v>
      </c>
      <c r="AY185" s="60">
        <v>3729.9009999999998</v>
      </c>
      <c r="AZ185" s="60">
        <v>3031.489</v>
      </c>
    </row>
    <row r="186" spans="1:52">
      <c r="A186" s="3" t="s">
        <v>184</v>
      </c>
      <c r="B186" s="7" t="s">
        <v>263</v>
      </c>
      <c r="C186" s="7" t="s">
        <v>261</v>
      </c>
      <c r="D186" s="15">
        <v>16.810493614083537</v>
      </c>
      <c r="E186" s="15">
        <v>30.38</v>
      </c>
      <c r="F186" s="15" t="s">
        <v>280</v>
      </c>
      <c r="G186" s="12">
        <v>7489.8702627162556</v>
      </c>
      <c r="H186" s="12">
        <v>3743</v>
      </c>
      <c r="I186" s="12">
        <v>3747</v>
      </c>
      <c r="J186" s="15">
        <v>12.2</v>
      </c>
      <c r="K186" s="15">
        <v>11.2</v>
      </c>
      <c r="L186" s="15">
        <v>11.4</v>
      </c>
      <c r="M186" s="15">
        <v>9.8000000000000007</v>
      </c>
      <c r="N186" s="15">
        <v>16.942590120160215</v>
      </c>
      <c r="O186" s="15">
        <v>15.393858477970626</v>
      </c>
      <c r="P186" s="15">
        <v>10.026702269692924</v>
      </c>
      <c r="Q186" s="15">
        <v>3.4</v>
      </c>
      <c r="R186" s="15">
        <v>9.6999999999999993</v>
      </c>
      <c r="S186" s="15">
        <v>41.1</v>
      </c>
      <c r="T186" s="15">
        <v>3.9</v>
      </c>
      <c r="U186" s="12">
        <v>-133</v>
      </c>
      <c r="V186" s="12">
        <v>131</v>
      </c>
      <c r="W186" s="15" t="s">
        <v>280</v>
      </c>
      <c r="X186" s="15" t="s">
        <v>280</v>
      </c>
      <c r="Y186" s="24" t="s">
        <v>280</v>
      </c>
      <c r="Z186" s="19" t="s">
        <v>280</v>
      </c>
      <c r="AA186" s="19" t="s">
        <v>280</v>
      </c>
      <c r="AB186" s="19" t="s">
        <v>280</v>
      </c>
      <c r="AC186" s="49">
        <v>3</v>
      </c>
      <c r="AD186" s="27">
        <v>3</v>
      </c>
      <c r="AE186" s="27">
        <v>3</v>
      </c>
      <c r="AF186" s="31">
        <v>1.5</v>
      </c>
      <c r="AG186" s="15">
        <v>66.280016280016284</v>
      </c>
      <c r="AH186" s="44">
        <v>0.3</v>
      </c>
      <c r="AI186" s="44">
        <v>0.3</v>
      </c>
      <c r="AJ186" s="44" t="s">
        <v>280</v>
      </c>
      <c r="AK186" s="44">
        <v>0.2</v>
      </c>
      <c r="AL186" s="44">
        <v>0.2</v>
      </c>
      <c r="AM186" s="44" t="s">
        <v>280</v>
      </c>
      <c r="AN186" s="19"/>
      <c r="AO186" s="19"/>
      <c r="AP186" s="84">
        <v>0</v>
      </c>
      <c r="AQ186" s="60">
        <v>25206</v>
      </c>
      <c r="AR186" s="60">
        <v>9793</v>
      </c>
      <c r="AS186" s="60">
        <v>6814</v>
      </c>
      <c r="AT186" s="60">
        <v>8452.86</v>
      </c>
      <c r="AU186" s="24">
        <v>63384</v>
      </c>
      <c r="AV186" s="60">
        <v>11803.408723923467</v>
      </c>
      <c r="AW186" s="24">
        <v>11916.28</v>
      </c>
      <c r="AX186" s="24">
        <v>8302.86</v>
      </c>
      <c r="AY186" s="60">
        <v>1659.37</v>
      </c>
      <c r="AZ186" s="60">
        <v>567.63</v>
      </c>
    </row>
    <row r="187" spans="1:52">
      <c r="A187" s="3" t="s">
        <v>185</v>
      </c>
      <c r="B187" s="7" t="s">
        <v>263</v>
      </c>
      <c r="C187" s="7" t="s">
        <v>261</v>
      </c>
      <c r="D187" s="15">
        <v>13.072494111489139</v>
      </c>
      <c r="E187" s="15">
        <v>58.28</v>
      </c>
      <c r="F187" s="15" t="s">
        <v>280</v>
      </c>
      <c r="G187" s="12">
        <v>19179.783355681298</v>
      </c>
      <c r="H187" s="12">
        <v>9210</v>
      </c>
      <c r="I187" s="12">
        <v>9970</v>
      </c>
      <c r="J187" s="15">
        <v>5.9</v>
      </c>
      <c r="K187" s="15">
        <v>6.8</v>
      </c>
      <c r="L187" s="15">
        <v>8</v>
      </c>
      <c r="M187" s="15">
        <v>7.8</v>
      </c>
      <c r="N187" s="15">
        <v>10.901981230448383</v>
      </c>
      <c r="O187" s="15">
        <v>16.444212721584982</v>
      </c>
      <c r="P187" s="15">
        <v>19.061522419186652</v>
      </c>
      <c r="Q187" s="15">
        <v>5</v>
      </c>
      <c r="R187" s="15">
        <v>20.100000000000001</v>
      </c>
      <c r="S187" s="15">
        <v>25.4</v>
      </c>
      <c r="T187" s="15">
        <v>9.4</v>
      </c>
      <c r="U187" s="12">
        <v>656</v>
      </c>
      <c r="V187" s="12">
        <v>347</v>
      </c>
      <c r="W187" s="15">
        <v>44.2</v>
      </c>
      <c r="X187" s="15">
        <v>42.9</v>
      </c>
      <c r="Y187" s="24">
        <v>229</v>
      </c>
      <c r="Z187" s="19">
        <v>26.5</v>
      </c>
      <c r="AA187" s="19">
        <v>25.9</v>
      </c>
      <c r="AB187" s="19">
        <v>144</v>
      </c>
      <c r="AC187" s="49">
        <v>8</v>
      </c>
      <c r="AD187" s="27">
        <v>8</v>
      </c>
      <c r="AE187" s="27">
        <v>5</v>
      </c>
      <c r="AF187" s="31">
        <v>0.1</v>
      </c>
      <c r="AG187" s="15">
        <v>67.451197563339335</v>
      </c>
      <c r="AH187" s="44">
        <v>22.2</v>
      </c>
      <c r="AI187" s="44">
        <v>21.9</v>
      </c>
      <c r="AJ187" s="44">
        <v>65</v>
      </c>
      <c r="AK187" s="44">
        <v>19.7</v>
      </c>
      <c r="AL187" s="44">
        <v>19.600000000000001</v>
      </c>
      <c r="AM187" s="44">
        <v>83</v>
      </c>
      <c r="AN187" s="19"/>
      <c r="AO187" s="19"/>
      <c r="AP187" s="84">
        <v>0</v>
      </c>
      <c r="AQ187" s="60">
        <v>100496</v>
      </c>
      <c r="AR187" s="60">
        <v>68144</v>
      </c>
      <c r="AS187" s="60">
        <v>40519</v>
      </c>
      <c r="AT187" s="60">
        <v>43421</v>
      </c>
      <c r="AU187" s="24">
        <v>31004</v>
      </c>
      <c r="AV187" s="60">
        <v>6854.9783676808229</v>
      </c>
      <c r="AW187" s="24">
        <v>81389</v>
      </c>
      <c r="AX187" s="24">
        <v>44763</v>
      </c>
      <c r="AY187" s="60">
        <v>6801</v>
      </c>
      <c r="AZ187" s="60">
        <v>0</v>
      </c>
    </row>
    <row r="188" spans="1:52">
      <c r="A188" s="3" t="s">
        <v>186</v>
      </c>
      <c r="B188" s="7" t="s">
        <v>263</v>
      </c>
      <c r="C188" s="7" t="s">
        <v>261</v>
      </c>
      <c r="D188" s="15">
        <v>7.1329319129226496</v>
      </c>
      <c r="E188" s="15">
        <v>19.96</v>
      </c>
      <c r="F188" s="15" t="s">
        <v>280</v>
      </c>
      <c r="G188" s="12">
        <v>6555.4703444866327</v>
      </c>
      <c r="H188" s="12">
        <v>3440</v>
      </c>
      <c r="I188" s="12">
        <v>3116</v>
      </c>
      <c r="J188" s="15">
        <v>18.3</v>
      </c>
      <c r="K188" s="15">
        <v>15.4</v>
      </c>
      <c r="L188" s="15">
        <v>12</v>
      </c>
      <c r="M188" s="15">
        <v>10.5</v>
      </c>
      <c r="N188" s="15">
        <v>15.560640732265446</v>
      </c>
      <c r="O188" s="15">
        <v>16.613272311212814</v>
      </c>
      <c r="P188" s="15">
        <v>6.0106788710907706</v>
      </c>
      <c r="Q188" s="15">
        <v>2</v>
      </c>
      <c r="R188" s="15">
        <v>3.6</v>
      </c>
      <c r="S188" s="15">
        <v>52.5</v>
      </c>
      <c r="T188" s="15">
        <v>1.3</v>
      </c>
      <c r="U188" s="12">
        <v>-143</v>
      </c>
      <c r="V188" s="12">
        <v>74</v>
      </c>
      <c r="W188" s="15">
        <v>0.3</v>
      </c>
      <c r="X188" s="15">
        <v>0.3</v>
      </c>
      <c r="Y188" s="24" t="s">
        <v>280</v>
      </c>
      <c r="Z188" s="19">
        <v>6.8</v>
      </c>
      <c r="AA188" s="19">
        <v>0.7</v>
      </c>
      <c r="AB188" s="19">
        <v>1</v>
      </c>
      <c r="AC188" s="49">
        <v>2</v>
      </c>
      <c r="AD188" s="27">
        <v>2</v>
      </c>
      <c r="AE188" s="27">
        <v>6</v>
      </c>
      <c r="AF188" s="31">
        <v>0</v>
      </c>
      <c r="AG188" s="15">
        <v>77.803203661327231</v>
      </c>
      <c r="AH188" s="44">
        <v>1.8</v>
      </c>
      <c r="AI188" s="44">
        <v>1.8</v>
      </c>
      <c r="AJ188" s="44">
        <v>12</v>
      </c>
      <c r="AK188" s="44">
        <v>7.8</v>
      </c>
      <c r="AL188" s="44">
        <v>7.8</v>
      </c>
      <c r="AM188" s="44">
        <v>49</v>
      </c>
      <c r="AN188" s="19"/>
      <c r="AO188" s="19"/>
      <c r="AP188" s="84">
        <v>0</v>
      </c>
      <c r="AQ188" s="60">
        <v>18725</v>
      </c>
      <c r="AR188" s="60">
        <v>8324</v>
      </c>
      <c r="AS188" s="60">
        <v>7400</v>
      </c>
      <c r="AT188" s="60">
        <v>8927.6766000000007</v>
      </c>
      <c r="AU188" s="24">
        <v>31775</v>
      </c>
      <c r="AV188" s="60">
        <v>7694.1847570740465</v>
      </c>
      <c r="AW188" s="24">
        <v>9714.6560000000009</v>
      </c>
      <c r="AX188" s="24">
        <v>8676.8889999999992</v>
      </c>
      <c r="AY188" s="60">
        <v>1037.7670000000001</v>
      </c>
      <c r="AZ188" s="60">
        <v>0</v>
      </c>
    </row>
    <row r="189" spans="1:52">
      <c r="A189" s="3" t="s">
        <v>187</v>
      </c>
      <c r="B189" s="7" t="s">
        <v>263</v>
      </c>
      <c r="C189" s="7" t="s">
        <v>261</v>
      </c>
      <c r="D189" s="15">
        <v>12.588060808305524</v>
      </c>
      <c r="E189" s="15">
        <v>18.329999999999998</v>
      </c>
      <c r="F189" s="15" t="s">
        <v>280</v>
      </c>
      <c r="G189" s="12">
        <v>10993.320449429642</v>
      </c>
      <c r="H189" s="12">
        <v>5374</v>
      </c>
      <c r="I189" s="12">
        <v>5620</v>
      </c>
      <c r="J189" s="15">
        <v>7.8</v>
      </c>
      <c r="K189" s="15">
        <v>8.3000000000000007</v>
      </c>
      <c r="L189" s="15">
        <v>7.3</v>
      </c>
      <c r="M189" s="15">
        <v>6.5</v>
      </c>
      <c r="N189" s="15">
        <v>14.045301555535342</v>
      </c>
      <c r="O189" s="15">
        <v>18.611843900664059</v>
      </c>
      <c r="P189" s="15">
        <v>16.919858091512783</v>
      </c>
      <c r="Q189" s="15">
        <v>5.3</v>
      </c>
      <c r="R189" s="15">
        <v>15.2</v>
      </c>
      <c r="S189" s="15">
        <v>27.3</v>
      </c>
      <c r="T189" s="15">
        <v>5.8</v>
      </c>
      <c r="U189" s="12">
        <v>-133</v>
      </c>
      <c r="V189" s="12">
        <v>231</v>
      </c>
      <c r="W189" s="15">
        <v>2.9</v>
      </c>
      <c r="X189" s="15">
        <v>2.6</v>
      </c>
      <c r="Y189" s="24">
        <v>11</v>
      </c>
      <c r="Z189" s="19">
        <v>1.4</v>
      </c>
      <c r="AA189" s="19">
        <v>1.3</v>
      </c>
      <c r="AB189" s="19">
        <v>4</v>
      </c>
      <c r="AC189" s="49">
        <v>5</v>
      </c>
      <c r="AD189" s="27">
        <v>6</v>
      </c>
      <c r="AE189" s="27">
        <v>7</v>
      </c>
      <c r="AF189" s="31">
        <v>6.8</v>
      </c>
      <c r="AG189" s="15">
        <v>72.669439686811842</v>
      </c>
      <c r="AH189" s="44">
        <v>6.1</v>
      </c>
      <c r="AI189" s="44">
        <v>2.6</v>
      </c>
      <c r="AJ189" s="44">
        <v>10</v>
      </c>
      <c r="AK189" s="44">
        <v>3.4</v>
      </c>
      <c r="AL189" s="44">
        <v>3.1</v>
      </c>
      <c r="AM189" s="44">
        <v>16</v>
      </c>
      <c r="AN189" s="19"/>
      <c r="AO189" s="19"/>
      <c r="AP189" s="84">
        <v>0</v>
      </c>
      <c r="AQ189" s="60">
        <v>65519</v>
      </c>
      <c r="AR189" s="60">
        <v>49654</v>
      </c>
      <c r="AS189" s="60">
        <v>14043</v>
      </c>
      <c r="AT189" s="60">
        <v>16159.3</v>
      </c>
      <c r="AU189" s="24">
        <v>30747</v>
      </c>
      <c r="AV189" s="60">
        <v>8700.5559821520928</v>
      </c>
      <c r="AW189" s="24">
        <v>53213.38</v>
      </c>
      <c r="AX189" s="24">
        <v>17632.8</v>
      </c>
      <c r="AY189" s="60">
        <v>25106.47</v>
      </c>
      <c r="AZ189" s="60">
        <v>1267.9100000000001</v>
      </c>
    </row>
    <row r="190" spans="1:52">
      <c r="A190" s="3" t="s">
        <v>188</v>
      </c>
      <c r="B190" s="7" t="s">
        <v>263</v>
      </c>
      <c r="C190" s="7" t="s">
        <v>261</v>
      </c>
      <c r="D190" s="15">
        <v>16.384579219558063</v>
      </c>
      <c r="E190" s="15">
        <v>44.38</v>
      </c>
      <c r="F190" s="15" t="s">
        <v>280</v>
      </c>
      <c r="G190" s="12">
        <v>9920.3926781263544</v>
      </c>
      <c r="H190" s="12">
        <v>5063</v>
      </c>
      <c r="I190" s="12">
        <v>4857</v>
      </c>
      <c r="J190" s="15">
        <v>12.2</v>
      </c>
      <c r="K190" s="15">
        <v>12.4</v>
      </c>
      <c r="L190" s="15">
        <v>10.1</v>
      </c>
      <c r="M190" s="15">
        <v>8.5</v>
      </c>
      <c r="N190" s="15">
        <v>13.991935483870968</v>
      </c>
      <c r="O190" s="15">
        <v>19.495967741935484</v>
      </c>
      <c r="P190" s="15">
        <v>10.090725806451612</v>
      </c>
      <c r="Q190" s="15">
        <v>4.2</v>
      </c>
      <c r="R190" s="15">
        <v>9.1</v>
      </c>
      <c r="S190" s="15">
        <v>39.799999999999997</v>
      </c>
      <c r="T190" s="15">
        <v>2.6</v>
      </c>
      <c r="U190" s="12">
        <v>-19</v>
      </c>
      <c r="V190" s="12">
        <v>184</v>
      </c>
      <c r="W190" s="15">
        <v>19.7</v>
      </c>
      <c r="X190" s="15">
        <v>19.100000000000001</v>
      </c>
      <c r="Y190" s="24">
        <v>133</v>
      </c>
      <c r="Z190" s="19">
        <v>6.2</v>
      </c>
      <c r="AA190" s="19">
        <v>3.9</v>
      </c>
      <c r="AB190" s="19">
        <v>11</v>
      </c>
      <c r="AC190" s="49">
        <v>6</v>
      </c>
      <c r="AD190" s="27">
        <v>6</v>
      </c>
      <c r="AE190" s="27">
        <v>5</v>
      </c>
      <c r="AF190" s="31">
        <v>1.1000000000000001</v>
      </c>
      <c r="AG190" s="15">
        <v>73.545792079207914</v>
      </c>
      <c r="AH190" s="44">
        <v>18.600000000000001</v>
      </c>
      <c r="AI190" s="44">
        <v>18</v>
      </c>
      <c r="AJ190" s="44">
        <v>110</v>
      </c>
      <c r="AK190" s="44">
        <v>4.2</v>
      </c>
      <c r="AL190" s="44">
        <v>3.1</v>
      </c>
      <c r="AM190" s="44">
        <v>10</v>
      </c>
      <c r="AN190" s="19"/>
      <c r="AO190" s="19"/>
      <c r="AP190" s="84">
        <v>0</v>
      </c>
      <c r="AQ190" s="60">
        <v>48727</v>
      </c>
      <c r="AR190" s="60">
        <v>17744</v>
      </c>
      <c r="AS190" s="60">
        <v>13568</v>
      </c>
      <c r="AT190" s="60">
        <v>16306</v>
      </c>
      <c r="AU190" s="24">
        <v>72061</v>
      </c>
      <c r="AV190" s="60">
        <v>12494.66669533192</v>
      </c>
      <c r="AW190" s="24">
        <v>20798</v>
      </c>
      <c r="AX190" s="24">
        <v>16109</v>
      </c>
      <c r="AY190" s="60">
        <v>1000</v>
      </c>
      <c r="AZ190" s="60">
        <v>1761</v>
      </c>
    </row>
    <row r="191" spans="1:52">
      <c r="A191" s="3" t="s">
        <v>189</v>
      </c>
      <c r="B191" s="7" t="s">
        <v>263</v>
      </c>
      <c r="C191" s="7" t="s">
        <v>260</v>
      </c>
      <c r="D191" s="15">
        <v>13.186813186813188</v>
      </c>
      <c r="E191" s="15">
        <v>24.52</v>
      </c>
      <c r="F191" s="15">
        <v>99.8</v>
      </c>
      <c r="G191" s="12">
        <v>7798.2547819103866</v>
      </c>
      <c r="H191" s="12">
        <v>3914</v>
      </c>
      <c r="I191" s="12">
        <v>3884</v>
      </c>
      <c r="J191" s="15">
        <v>6.7</v>
      </c>
      <c r="K191" s="15">
        <v>7.5</v>
      </c>
      <c r="L191" s="15">
        <v>7.2</v>
      </c>
      <c r="M191" s="15">
        <v>7.4</v>
      </c>
      <c r="N191" s="15">
        <v>16.606822262118492</v>
      </c>
      <c r="O191" s="15">
        <v>20.441138753526545</v>
      </c>
      <c r="P191" s="15">
        <v>17.684021543985637</v>
      </c>
      <c r="Q191" s="15">
        <v>4.7</v>
      </c>
      <c r="R191" s="15">
        <v>11.8</v>
      </c>
      <c r="S191" s="15">
        <v>25.5</v>
      </c>
      <c r="T191" s="15">
        <v>5</v>
      </c>
      <c r="U191" s="12">
        <v>-39</v>
      </c>
      <c r="V191" s="12">
        <v>189</v>
      </c>
      <c r="W191" s="15">
        <v>6.9</v>
      </c>
      <c r="X191" s="15">
        <v>3.2</v>
      </c>
      <c r="Y191" s="24">
        <v>14</v>
      </c>
      <c r="Z191" s="19">
        <v>1.5</v>
      </c>
      <c r="AA191" s="19">
        <v>0.6</v>
      </c>
      <c r="AB191" s="19">
        <v>3</v>
      </c>
      <c r="AC191" s="49">
        <v>5</v>
      </c>
      <c r="AD191" s="27">
        <v>5</v>
      </c>
      <c r="AE191" s="27">
        <v>3</v>
      </c>
      <c r="AF191" s="31">
        <v>0.8</v>
      </c>
      <c r="AG191" s="15">
        <v>55.278369333738972</v>
      </c>
      <c r="AH191" s="44">
        <v>6.9</v>
      </c>
      <c r="AI191" s="44">
        <v>5.8</v>
      </c>
      <c r="AJ191" s="44">
        <v>19</v>
      </c>
      <c r="AK191" s="44">
        <v>4.3</v>
      </c>
      <c r="AL191" s="44">
        <v>3.6</v>
      </c>
      <c r="AM191" s="44">
        <v>16</v>
      </c>
      <c r="AN191" s="19"/>
      <c r="AO191" s="19"/>
      <c r="AP191" s="84">
        <v>0</v>
      </c>
      <c r="AQ191" s="60">
        <v>16131</v>
      </c>
      <c r="AR191" s="60">
        <v>8415</v>
      </c>
      <c r="AS191" s="60">
        <v>6031</v>
      </c>
      <c r="AT191" s="60">
        <v>12803</v>
      </c>
      <c r="AU191" s="24">
        <v>47414</v>
      </c>
      <c r="AV191" s="60">
        <v>8130.2806554966164</v>
      </c>
      <c r="AW191" s="24">
        <v>15458</v>
      </c>
      <c r="AX191" s="24">
        <v>12592</v>
      </c>
      <c r="AY191" s="60">
        <v>1761</v>
      </c>
      <c r="AZ191" s="60">
        <v>223</v>
      </c>
    </row>
    <row r="192" spans="1:52">
      <c r="A192" s="3" t="s">
        <v>190</v>
      </c>
      <c r="B192" s="7" t="s">
        <v>263</v>
      </c>
      <c r="C192" s="7" t="s">
        <v>261</v>
      </c>
      <c r="D192" s="15">
        <v>15.12770137524558</v>
      </c>
      <c r="E192" s="15">
        <v>42.61</v>
      </c>
      <c r="F192" s="15" t="s">
        <v>280</v>
      </c>
      <c r="G192" s="12">
        <v>3308.4310415192081</v>
      </c>
      <c r="H192" s="12">
        <v>1632</v>
      </c>
      <c r="I192" s="12">
        <v>1676</v>
      </c>
      <c r="J192" s="15">
        <v>6.6</v>
      </c>
      <c r="K192" s="15">
        <v>7.6</v>
      </c>
      <c r="L192" s="15">
        <v>8.1</v>
      </c>
      <c r="M192" s="15">
        <v>7.4</v>
      </c>
      <c r="N192" s="15">
        <v>13.75453446191052</v>
      </c>
      <c r="O192" s="15">
        <v>16.444981862152357</v>
      </c>
      <c r="P192" s="15">
        <v>18.319226118500602</v>
      </c>
      <c r="Q192" s="15">
        <v>4.7</v>
      </c>
      <c r="R192" s="15">
        <v>17.100000000000001</v>
      </c>
      <c r="S192" s="15">
        <v>27</v>
      </c>
      <c r="T192" s="15">
        <v>5.5</v>
      </c>
      <c r="U192" s="12">
        <v>22</v>
      </c>
      <c r="V192" s="12">
        <v>74</v>
      </c>
      <c r="W192" s="15">
        <v>4.5999999999999996</v>
      </c>
      <c r="X192" s="15">
        <v>3.2</v>
      </c>
      <c r="Y192" s="24">
        <v>16</v>
      </c>
      <c r="Z192" s="19">
        <v>10.7</v>
      </c>
      <c r="AA192" s="19">
        <v>4.5</v>
      </c>
      <c r="AB192" s="19">
        <v>25</v>
      </c>
      <c r="AC192" s="49">
        <v>7</v>
      </c>
      <c r="AD192" s="27">
        <v>7</v>
      </c>
      <c r="AE192" s="27">
        <v>2</v>
      </c>
      <c r="AF192" s="31">
        <v>2</v>
      </c>
      <c r="AG192" s="15">
        <v>66.139865665744765</v>
      </c>
      <c r="AH192" s="44">
        <v>7.5</v>
      </c>
      <c r="AI192" s="44">
        <v>6.5</v>
      </c>
      <c r="AJ192" s="44">
        <v>29</v>
      </c>
      <c r="AK192" s="44">
        <v>6.8</v>
      </c>
      <c r="AL192" s="44">
        <v>3.3</v>
      </c>
      <c r="AM192" s="44">
        <v>13</v>
      </c>
      <c r="AN192" s="19"/>
      <c r="AO192" s="19"/>
      <c r="AP192" s="84">
        <v>0</v>
      </c>
      <c r="AQ192" s="60">
        <v>45304</v>
      </c>
      <c r="AR192" s="60">
        <v>30897</v>
      </c>
      <c r="AS192" s="60">
        <v>5259</v>
      </c>
      <c r="AT192" s="60">
        <v>6160.7939999999999</v>
      </c>
      <c r="AU192" s="24">
        <v>8180</v>
      </c>
      <c r="AV192" s="60">
        <v>16157.205433380845</v>
      </c>
      <c r="AW192" s="24">
        <v>29721.45</v>
      </c>
      <c r="AX192" s="24">
        <v>6778.7939999999999</v>
      </c>
      <c r="AY192" s="60">
        <v>7626.174</v>
      </c>
      <c r="AZ192" s="60">
        <v>8346.0910000000003</v>
      </c>
    </row>
    <row r="193" spans="1:52">
      <c r="A193" s="3" t="s">
        <v>191</v>
      </c>
      <c r="B193" s="7" t="s">
        <v>263</v>
      </c>
      <c r="C193" s="7" t="s">
        <v>260</v>
      </c>
      <c r="D193" s="15">
        <v>13.004648886713971</v>
      </c>
      <c r="E193" s="15">
        <v>11.75</v>
      </c>
      <c r="F193" s="15">
        <v>99.9</v>
      </c>
      <c r="G193" s="12">
        <v>19397.284079147521</v>
      </c>
      <c r="H193" s="12">
        <v>9901</v>
      </c>
      <c r="I193" s="12">
        <v>9496</v>
      </c>
      <c r="J193" s="15">
        <v>8.6999999999999993</v>
      </c>
      <c r="K193" s="15">
        <v>8.9</v>
      </c>
      <c r="L193" s="15">
        <v>9.3000000000000007</v>
      </c>
      <c r="M193" s="15">
        <v>9.1999999999999993</v>
      </c>
      <c r="N193" s="15">
        <v>18.580192813321649</v>
      </c>
      <c r="O193" s="15">
        <v>18.533793885652418</v>
      </c>
      <c r="P193" s="15">
        <v>15.883899572098779</v>
      </c>
      <c r="Q193" s="15">
        <v>4.0999999999999996</v>
      </c>
      <c r="R193" s="15">
        <v>6.8</v>
      </c>
      <c r="S193" s="15">
        <v>32.200000000000003</v>
      </c>
      <c r="T193" s="15">
        <v>2.2000000000000002</v>
      </c>
      <c r="U193" s="12">
        <v>-75</v>
      </c>
      <c r="V193" s="12">
        <v>258</v>
      </c>
      <c r="W193" s="15">
        <v>32.9</v>
      </c>
      <c r="X193" s="15">
        <v>26.3</v>
      </c>
      <c r="Y193" s="24">
        <v>100</v>
      </c>
      <c r="Z193" s="19">
        <v>43.6</v>
      </c>
      <c r="AA193" s="19">
        <v>32.9</v>
      </c>
      <c r="AB193" s="19">
        <v>126</v>
      </c>
      <c r="AC193" s="49">
        <v>3</v>
      </c>
      <c r="AD193" s="27">
        <v>3</v>
      </c>
      <c r="AE193" s="27">
        <v>5</v>
      </c>
      <c r="AF193" s="31">
        <v>1.2</v>
      </c>
      <c r="AG193" s="15">
        <v>52.788694706915294</v>
      </c>
      <c r="AH193" s="44">
        <v>20.399999999999999</v>
      </c>
      <c r="AI193" s="44">
        <v>18.7</v>
      </c>
      <c r="AJ193" s="44">
        <v>80</v>
      </c>
      <c r="AK193" s="44">
        <v>31</v>
      </c>
      <c r="AL193" s="44">
        <v>24.2</v>
      </c>
      <c r="AM193" s="44">
        <v>112</v>
      </c>
      <c r="AN193" s="19"/>
      <c r="AO193" s="19"/>
      <c r="AP193" s="84">
        <v>0</v>
      </c>
      <c r="AQ193" s="60">
        <v>38978</v>
      </c>
      <c r="AR193" s="60">
        <v>18840</v>
      </c>
      <c r="AS193" s="60">
        <v>12321</v>
      </c>
      <c r="AT193" s="60">
        <v>31934</v>
      </c>
      <c r="AU193" s="24">
        <v>84187</v>
      </c>
      <c r="AV193" s="60">
        <v>6382.2336928645282</v>
      </c>
      <c r="AW193" s="24">
        <v>42329</v>
      </c>
      <c r="AX193" s="24">
        <v>33012</v>
      </c>
      <c r="AY193" s="60">
        <v>5407</v>
      </c>
      <c r="AZ193" s="60">
        <v>1845</v>
      </c>
    </row>
    <row r="194" spans="1:52">
      <c r="A194" s="3" t="s">
        <v>192</v>
      </c>
      <c r="B194" s="7" t="s">
        <v>263</v>
      </c>
      <c r="C194" s="7" t="s">
        <v>261</v>
      </c>
      <c r="D194" s="15">
        <v>13.120813120813121</v>
      </c>
      <c r="E194" s="15">
        <v>9.84</v>
      </c>
      <c r="F194" s="15" t="s">
        <v>280</v>
      </c>
      <c r="G194" s="12">
        <v>14197.695330991972</v>
      </c>
      <c r="H194" s="12">
        <v>7361</v>
      </c>
      <c r="I194" s="12">
        <v>6837</v>
      </c>
      <c r="J194" s="15">
        <v>17.5</v>
      </c>
      <c r="K194" s="15">
        <v>15.2</v>
      </c>
      <c r="L194" s="15">
        <v>11.4</v>
      </c>
      <c r="M194" s="15">
        <v>10.3</v>
      </c>
      <c r="N194" s="15">
        <v>16.086772784899281</v>
      </c>
      <c r="O194" s="15">
        <v>15.037329201295957</v>
      </c>
      <c r="P194" s="15">
        <v>7.9377377095365551</v>
      </c>
      <c r="Q194" s="15">
        <v>2</v>
      </c>
      <c r="R194" s="15">
        <v>4.5</v>
      </c>
      <c r="S194" s="15">
        <v>50</v>
      </c>
      <c r="T194" s="15">
        <v>1.5</v>
      </c>
      <c r="U194" s="12">
        <v>-14</v>
      </c>
      <c r="V194" s="12">
        <v>264</v>
      </c>
      <c r="W194" s="15">
        <v>60.9</v>
      </c>
      <c r="X194" s="15">
        <v>60.5</v>
      </c>
      <c r="Y194" s="24">
        <v>405</v>
      </c>
      <c r="Z194" s="19">
        <v>8.4</v>
      </c>
      <c r="AA194" s="19">
        <v>8.4</v>
      </c>
      <c r="AB194" s="19">
        <v>72</v>
      </c>
      <c r="AC194" s="49">
        <v>2</v>
      </c>
      <c r="AD194" s="27">
        <v>2</v>
      </c>
      <c r="AE194" s="27">
        <v>5</v>
      </c>
      <c r="AF194" s="31">
        <v>0</v>
      </c>
      <c r="AG194" s="15">
        <v>84.212790364209923</v>
      </c>
      <c r="AH194" s="44">
        <v>13.4</v>
      </c>
      <c r="AI194" s="44">
        <v>7.3</v>
      </c>
      <c r="AJ194" s="44">
        <v>53</v>
      </c>
      <c r="AK194" s="44">
        <v>8.5</v>
      </c>
      <c r="AL194" s="44">
        <v>4.5999999999999996</v>
      </c>
      <c r="AM194" s="44">
        <v>26</v>
      </c>
      <c r="AN194" s="19"/>
      <c r="AO194" s="19"/>
      <c r="AP194" s="84">
        <v>0</v>
      </c>
      <c r="AQ194" s="60">
        <v>23413</v>
      </c>
      <c r="AR194" s="60">
        <v>5749</v>
      </c>
      <c r="AS194" s="60">
        <v>5319</v>
      </c>
      <c r="AT194" s="60">
        <v>9796.107</v>
      </c>
      <c r="AU194" s="24">
        <v>51162</v>
      </c>
      <c r="AV194" s="60">
        <v>5475.1844005493795</v>
      </c>
      <c r="AW194" s="24">
        <v>12383.322</v>
      </c>
      <c r="AX194" s="24">
        <v>11263.107</v>
      </c>
      <c r="AY194" s="60">
        <v>508.99400000000003</v>
      </c>
      <c r="AZ194" s="60">
        <v>4.4530000000000003</v>
      </c>
    </row>
    <row r="195" spans="1:52">
      <c r="A195" s="3" t="s">
        <v>193</v>
      </c>
      <c r="B195" s="7" t="s">
        <v>263</v>
      </c>
      <c r="C195" s="7" t="s">
        <v>261</v>
      </c>
      <c r="D195" s="15">
        <v>12.466559657570892</v>
      </c>
      <c r="E195" s="15">
        <v>56.87</v>
      </c>
      <c r="F195" s="15" t="s">
        <v>280</v>
      </c>
      <c r="G195" s="12">
        <v>8119.7068378641961</v>
      </c>
      <c r="H195" s="12">
        <v>3998</v>
      </c>
      <c r="I195" s="12">
        <v>4122</v>
      </c>
      <c r="J195" s="15">
        <v>6.9</v>
      </c>
      <c r="K195" s="15">
        <v>8.8000000000000007</v>
      </c>
      <c r="L195" s="15">
        <v>8.1</v>
      </c>
      <c r="M195" s="15">
        <v>7.8</v>
      </c>
      <c r="N195" s="15">
        <v>12.167487684729064</v>
      </c>
      <c r="O195" s="15">
        <v>17.536945812807883</v>
      </c>
      <c r="P195" s="15">
        <v>17.401477832512317</v>
      </c>
      <c r="Q195" s="15">
        <v>5.6</v>
      </c>
      <c r="R195" s="15">
        <v>15.6</v>
      </c>
      <c r="S195" s="15">
        <v>28.8</v>
      </c>
      <c r="T195" s="15">
        <v>4.4000000000000004</v>
      </c>
      <c r="U195" s="12">
        <v>9</v>
      </c>
      <c r="V195" s="12">
        <v>202</v>
      </c>
      <c r="W195" s="15">
        <v>5</v>
      </c>
      <c r="X195" s="15">
        <v>5</v>
      </c>
      <c r="Y195" s="24">
        <v>26</v>
      </c>
      <c r="Z195" s="19">
        <v>26.6</v>
      </c>
      <c r="AA195" s="19">
        <v>7.6</v>
      </c>
      <c r="AB195" s="19">
        <v>40</v>
      </c>
      <c r="AC195" s="49">
        <v>8</v>
      </c>
      <c r="AD195" s="27">
        <v>8</v>
      </c>
      <c r="AE195" s="27">
        <v>4</v>
      </c>
      <c r="AF195" s="31">
        <v>0</v>
      </c>
      <c r="AG195" s="15">
        <v>72.68949468085107</v>
      </c>
      <c r="AH195" s="44">
        <v>10.199999999999999</v>
      </c>
      <c r="AI195" s="44">
        <v>7.3</v>
      </c>
      <c r="AJ195" s="44">
        <v>31</v>
      </c>
      <c r="AK195" s="44">
        <v>36.200000000000003</v>
      </c>
      <c r="AL195" s="44">
        <v>9.4</v>
      </c>
      <c r="AM195" s="44">
        <v>45</v>
      </c>
      <c r="AN195" s="19"/>
      <c r="AO195" s="19"/>
      <c r="AP195" s="84">
        <v>0</v>
      </c>
      <c r="AQ195" s="60">
        <v>33988</v>
      </c>
      <c r="AR195" s="60">
        <v>24197</v>
      </c>
      <c r="AS195" s="60">
        <v>16771</v>
      </c>
      <c r="AT195" s="60">
        <v>18370.066999999999</v>
      </c>
      <c r="AU195" s="24">
        <v>14907</v>
      </c>
      <c r="AV195" s="60">
        <v>6013.887074381676</v>
      </c>
      <c r="AW195" s="24">
        <v>28056.3</v>
      </c>
      <c r="AX195" s="24">
        <v>19658.066999999999</v>
      </c>
      <c r="AY195" s="60">
        <v>6482.9579999999996</v>
      </c>
      <c r="AZ195" s="60">
        <v>0</v>
      </c>
    </row>
    <row r="196" spans="1:52">
      <c r="A196" s="3" t="s">
        <v>194</v>
      </c>
      <c r="B196" s="7" t="s">
        <v>263</v>
      </c>
      <c r="C196" s="7" t="s">
        <v>260</v>
      </c>
      <c r="D196" s="15">
        <v>14.621676891615543</v>
      </c>
      <c r="E196" s="15">
        <v>14.1</v>
      </c>
      <c r="F196" s="15">
        <v>99.9</v>
      </c>
      <c r="G196" s="12">
        <v>6369.7414229502792</v>
      </c>
      <c r="H196" s="12">
        <v>3206</v>
      </c>
      <c r="I196" s="12">
        <v>3164</v>
      </c>
      <c r="J196" s="15">
        <v>9</v>
      </c>
      <c r="K196" s="15">
        <v>9.4</v>
      </c>
      <c r="L196" s="15">
        <v>10.7</v>
      </c>
      <c r="M196" s="15">
        <v>10.199999999999999</v>
      </c>
      <c r="N196" s="15">
        <v>17.456828885400313</v>
      </c>
      <c r="O196" s="15">
        <v>17.488226059654632</v>
      </c>
      <c r="P196" s="15">
        <v>16.357927786499214</v>
      </c>
      <c r="Q196" s="15">
        <v>3.1</v>
      </c>
      <c r="R196" s="15">
        <v>6.3</v>
      </c>
      <c r="S196" s="15">
        <v>34.9</v>
      </c>
      <c r="T196" s="15">
        <v>2.4</v>
      </c>
      <c r="U196" s="12">
        <v>-8</v>
      </c>
      <c r="V196" s="12">
        <v>127</v>
      </c>
      <c r="W196" s="15">
        <v>7.6</v>
      </c>
      <c r="X196" s="15">
        <v>7.6</v>
      </c>
      <c r="Y196" s="24">
        <v>30</v>
      </c>
      <c r="Z196" s="19">
        <v>2.6</v>
      </c>
      <c r="AA196" s="19">
        <v>1.8</v>
      </c>
      <c r="AB196" s="19">
        <v>7</v>
      </c>
      <c r="AC196" s="49">
        <v>3</v>
      </c>
      <c r="AD196" s="27">
        <v>3</v>
      </c>
      <c r="AE196" s="27">
        <v>3</v>
      </c>
      <c r="AF196" s="31">
        <v>0</v>
      </c>
      <c r="AG196" s="15">
        <v>50.043975373790673</v>
      </c>
      <c r="AH196" s="44">
        <v>5.8</v>
      </c>
      <c r="AI196" s="44">
        <v>4.0999999999999996</v>
      </c>
      <c r="AJ196" s="44">
        <v>21</v>
      </c>
      <c r="AK196" s="44">
        <v>5.4</v>
      </c>
      <c r="AL196" s="44">
        <v>5.4</v>
      </c>
      <c r="AM196" s="44">
        <v>23</v>
      </c>
      <c r="AN196" s="19"/>
      <c r="AO196" s="19"/>
      <c r="AP196" s="84">
        <v>0</v>
      </c>
      <c r="AQ196" s="60">
        <v>10141</v>
      </c>
      <c r="AR196" s="60">
        <v>5176</v>
      </c>
      <c r="AS196" s="60">
        <v>4890</v>
      </c>
      <c r="AT196" s="60">
        <v>14441.3541</v>
      </c>
      <c r="AU196" s="24">
        <v>42657</v>
      </c>
      <c r="AV196" s="60">
        <v>8455.445272228033</v>
      </c>
      <c r="AW196" s="24">
        <v>7086.8667999999998</v>
      </c>
      <c r="AX196" s="24">
        <v>6851.7040999999999</v>
      </c>
      <c r="AY196" s="60">
        <v>174.51990000000001</v>
      </c>
      <c r="AZ196" s="60">
        <v>34.171399999999998</v>
      </c>
    </row>
    <row r="197" spans="1:52">
      <c r="A197" s="3" t="s">
        <v>195</v>
      </c>
      <c r="B197" s="7" t="s">
        <v>263</v>
      </c>
      <c r="C197" s="7" t="s">
        <v>260</v>
      </c>
      <c r="D197" s="15">
        <v>10.164909434982427</v>
      </c>
      <c r="E197" s="15">
        <v>8.6300000000000008</v>
      </c>
      <c r="F197" s="15">
        <v>99.9</v>
      </c>
      <c r="G197" s="12">
        <v>12539.963492679628</v>
      </c>
      <c r="H197" s="12">
        <v>6339</v>
      </c>
      <c r="I197" s="12">
        <v>6201</v>
      </c>
      <c r="J197" s="15">
        <v>17.100000000000001</v>
      </c>
      <c r="K197" s="15">
        <v>14</v>
      </c>
      <c r="L197" s="15">
        <v>12.1</v>
      </c>
      <c r="M197" s="15">
        <v>11.7</v>
      </c>
      <c r="N197" s="15">
        <v>19.226475279106857</v>
      </c>
      <c r="O197" s="15">
        <v>14.266347687400319</v>
      </c>
      <c r="P197" s="15">
        <v>8.2057416267942571</v>
      </c>
      <c r="Q197" s="15">
        <v>1.4</v>
      </c>
      <c r="R197" s="15">
        <v>2.1</v>
      </c>
      <c r="S197" s="15">
        <v>50</v>
      </c>
      <c r="T197" s="15">
        <v>0.7</v>
      </c>
      <c r="U197" s="12">
        <v>239</v>
      </c>
      <c r="V197" s="12">
        <v>176</v>
      </c>
      <c r="W197" s="15">
        <v>20.3</v>
      </c>
      <c r="X197" s="15">
        <v>11.6</v>
      </c>
      <c r="Y197" s="24">
        <v>52</v>
      </c>
      <c r="Z197" s="19">
        <v>12.4</v>
      </c>
      <c r="AA197" s="19">
        <v>9.6</v>
      </c>
      <c r="AB197" s="19">
        <v>36</v>
      </c>
      <c r="AC197" s="49">
        <v>1</v>
      </c>
      <c r="AD197" s="27">
        <v>1</v>
      </c>
      <c r="AE197" s="27">
        <v>3</v>
      </c>
      <c r="AF197" s="31">
        <v>1.5</v>
      </c>
      <c r="AG197" s="15">
        <v>53.265002479748723</v>
      </c>
      <c r="AH197" s="44">
        <v>7.7</v>
      </c>
      <c r="AI197" s="44">
        <v>6.8</v>
      </c>
      <c r="AJ197" s="44">
        <v>34</v>
      </c>
      <c r="AK197" s="44">
        <v>9.1999999999999993</v>
      </c>
      <c r="AL197" s="44">
        <v>7.8</v>
      </c>
      <c r="AM197" s="44">
        <v>36</v>
      </c>
      <c r="AN197" s="24"/>
      <c r="AO197" s="19"/>
      <c r="AP197" s="84">
        <v>0</v>
      </c>
      <c r="AQ197" s="60">
        <v>22047</v>
      </c>
      <c r="AR197" s="60">
        <v>7087</v>
      </c>
      <c r="AS197" s="60">
        <v>2559</v>
      </c>
      <c r="AT197" s="60">
        <v>15416.92</v>
      </c>
      <c r="AU197" s="24">
        <v>82862</v>
      </c>
      <c r="AV197" s="60">
        <v>8362.6240268735655</v>
      </c>
      <c r="AW197" s="24">
        <v>12627.38</v>
      </c>
      <c r="AX197" s="24">
        <v>7810.92</v>
      </c>
      <c r="AY197" s="60">
        <v>1390.2</v>
      </c>
      <c r="AZ197" s="60">
        <v>0</v>
      </c>
    </row>
    <row r="198" spans="1:52">
      <c r="A198" s="3" t="s">
        <v>196</v>
      </c>
      <c r="B198" s="7" t="s">
        <v>263</v>
      </c>
      <c r="C198" s="7" t="s">
        <v>261</v>
      </c>
      <c r="D198" s="15">
        <v>14.581159282800494</v>
      </c>
      <c r="E198" s="15">
        <v>62.17</v>
      </c>
      <c r="F198" s="15" t="s">
        <v>280</v>
      </c>
      <c r="G198" s="12">
        <v>22730.890137267827</v>
      </c>
      <c r="H198" s="12">
        <v>11238</v>
      </c>
      <c r="I198" s="12">
        <v>11493</v>
      </c>
      <c r="J198" s="15">
        <v>6.3</v>
      </c>
      <c r="K198" s="15">
        <v>6.9</v>
      </c>
      <c r="L198" s="15">
        <v>8.1</v>
      </c>
      <c r="M198" s="15">
        <v>9.6</v>
      </c>
      <c r="N198" s="15">
        <v>16.453301658528002</v>
      </c>
      <c r="O198" s="15">
        <v>14.090889094188553</v>
      </c>
      <c r="P198" s="15">
        <v>23.16220139897057</v>
      </c>
      <c r="Q198" s="15">
        <v>6.4</v>
      </c>
      <c r="R198" s="15">
        <v>8.9</v>
      </c>
      <c r="S198" s="15">
        <v>27.1</v>
      </c>
      <c r="T198" s="15">
        <v>3.1</v>
      </c>
      <c r="U198" s="12">
        <v>1130</v>
      </c>
      <c r="V198" s="12">
        <v>483</v>
      </c>
      <c r="W198" s="15">
        <v>48.2</v>
      </c>
      <c r="X198" s="15">
        <v>8.4</v>
      </c>
      <c r="Y198" s="24">
        <v>59</v>
      </c>
      <c r="Z198" s="19">
        <v>131.4</v>
      </c>
      <c r="AA198" s="19">
        <v>93.9</v>
      </c>
      <c r="AB198" s="19">
        <v>647</v>
      </c>
      <c r="AC198" s="49">
        <v>9</v>
      </c>
      <c r="AD198" s="27">
        <v>9</v>
      </c>
      <c r="AE198" s="27">
        <v>7</v>
      </c>
      <c r="AF198" s="31">
        <v>2.4</v>
      </c>
      <c r="AG198" s="15">
        <v>76.037868987416203</v>
      </c>
      <c r="AH198" s="44">
        <v>57.9</v>
      </c>
      <c r="AI198" s="44">
        <v>22</v>
      </c>
      <c r="AJ198" s="44">
        <v>104</v>
      </c>
      <c r="AK198" s="44">
        <v>7.1</v>
      </c>
      <c r="AL198" s="44">
        <v>7.1</v>
      </c>
      <c r="AM198" s="44">
        <v>29</v>
      </c>
      <c r="AN198" s="24"/>
      <c r="AO198" s="19"/>
      <c r="AP198" s="84">
        <v>0</v>
      </c>
      <c r="AQ198" s="60">
        <v>106506</v>
      </c>
      <c r="AR198" s="60">
        <v>77560</v>
      </c>
      <c r="AS198" s="60">
        <v>48560</v>
      </c>
      <c r="AT198" s="60">
        <v>53473.199968071902</v>
      </c>
      <c r="AU198" s="24">
        <v>75276</v>
      </c>
      <c r="AV198" s="60">
        <v>7949.7546690320733</v>
      </c>
      <c r="AW198" s="24">
        <v>81433</v>
      </c>
      <c r="AX198" s="24">
        <v>49969</v>
      </c>
      <c r="AY198" s="60">
        <v>16334</v>
      </c>
      <c r="AZ198" s="60">
        <v>9516</v>
      </c>
    </row>
    <row r="199" spans="1:52">
      <c r="A199" s="3" t="s">
        <v>197</v>
      </c>
      <c r="B199" s="7" t="s">
        <v>263</v>
      </c>
      <c r="C199" s="7" t="s">
        <v>261</v>
      </c>
      <c r="D199" s="15">
        <v>14.543436025534277</v>
      </c>
      <c r="E199" s="15">
        <v>22.03</v>
      </c>
      <c r="F199" s="15" t="s">
        <v>280</v>
      </c>
      <c r="G199" s="12">
        <v>7446.366354398082</v>
      </c>
      <c r="H199" s="12">
        <v>3768</v>
      </c>
      <c r="I199" s="12">
        <v>3678</v>
      </c>
      <c r="J199" s="15">
        <v>7.4</v>
      </c>
      <c r="K199" s="15">
        <v>8.1</v>
      </c>
      <c r="L199" s="15">
        <v>8.3000000000000007</v>
      </c>
      <c r="M199" s="15">
        <v>7.2</v>
      </c>
      <c r="N199" s="15">
        <v>13.376309427880742</v>
      </c>
      <c r="O199" s="15">
        <v>18.708031157668547</v>
      </c>
      <c r="P199" s="15">
        <v>19.594413107708835</v>
      </c>
      <c r="Q199" s="15">
        <v>5.0999999999999996</v>
      </c>
      <c r="R199" s="15">
        <v>12.1</v>
      </c>
      <c r="S199" s="15">
        <v>28.1</v>
      </c>
      <c r="T199" s="15">
        <v>4.7</v>
      </c>
      <c r="U199" s="12">
        <v>337</v>
      </c>
      <c r="V199" s="12">
        <v>220</v>
      </c>
      <c r="W199" s="15">
        <v>21.7</v>
      </c>
      <c r="X199" s="15">
        <v>15.3</v>
      </c>
      <c r="Y199" s="24">
        <v>68</v>
      </c>
      <c r="Z199" s="19">
        <v>16.8</v>
      </c>
      <c r="AA199" s="19">
        <v>16.8</v>
      </c>
      <c r="AB199" s="19">
        <v>85</v>
      </c>
      <c r="AC199" s="49">
        <v>6</v>
      </c>
      <c r="AD199" s="27">
        <v>6</v>
      </c>
      <c r="AE199" s="27">
        <v>3</v>
      </c>
      <c r="AF199" s="31">
        <v>5.5</v>
      </c>
      <c r="AG199" s="15">
        <v>66.468489892984536</v>
      </c>
      <c r="AH199" s="44">
        <v>8.3000000000000007</v>
      </c>
      <c r="AI199" s="44">
        <v>2.8</v>
      </c>
      <c r="AJ199" s="44">
        <v>15</v>
      </c>
      <c r="AK199" s="44">
        <v>3.3</v>
      </c>
      <c r="AL199" s="44">
        <v>3.3</v>
      </c>
      <c r="AM199" s="44">
        <v>15</v>
      </c>
      <c r="AN199" s="19"/>
      <c r="AO199" s="19"/>
      <c r="AP199" s="84">
        <v>0</v>
      </c>
      <c r="AQ199" s="60">
        <v>37672</v>
      </c>
      <c r="AR199" s="60">
        <v>24220</v>
      </c>
      <c r="AS199" s="60">
        <v>9778</v>
      </c>
      <c r="AT199" s="60">
        <v>16127.915999999999</v>
      </c>
      <c r="AU199" s="24">
        <v>31164</v>
      </c>
      <c r="AV199" s="60">
        <v>9589.7779670514556</v>
      </c>
      <c r="AW199" s="24">
        <v>28673.51</v>
      </c>
      <c r="AX199" s="24">
        <v>12355.73</v>
      </c>
      <c r="AY199" s="60">
        <v>2118.5</v>
      </c>
      <c r="AZ199" s="60">
        <v>8805.2999999999993</v>
      </c>
    </row>
    <row r="200" spans="1:52">
      <c r="A200" s="3" t="s">
        <v>198</v>
      </c>
      <c r="B200" s="7" t="s">
        <v>263</v>
      </c>
      <c r="C200" s="7" t="s">
        <v>260</v>
      </c>
      <c r="D200" s="15">
        <v>12.857142857142856</v>
      </c>
      <c r="E200" s="15">
        <v>13.39</v>
      </c>
      <c r="F200" s="15">
        <v>100</v>
      </c>
      <c r="G200" s="12">
        <v>7468.8111273176564</v>
      </c>
      <c r="H200" s="12">
        <v>3758</v>
      </c>
      <c r="I200" s="12">
        <v>3711</v>
      </c>
      <c r="J200" s="15">
        <v>9.6999999999999993</v>
      </c>
      <c r="K200" s="15">
        <v>9.4</v>
      </c>
      <c r="L200" s="15">
        <v>8.6</v>
      </c>
      <c r="M200" s="15">
        <v>8.9</v>
      </c>
      <c r="N200" s="15">
        <v>18.570089704110323</v>
      </c>
      <c r="O200" s="15">
        <v>19.975900388271523</v>
      </c>
      <c r="P200" s="15">
        <v>16.535011380372204</v>
      </c>
      <c r="Q200" s="15">
        <v>3.4</v>
      </c>
      <c r="R200" s="15">
        <v>4.8</v>
      </c>
      <c r="S200" s="15">
        <v>32.5</v>
      </c>
      <c r="T200" s="15">
        <v>1.8</v>
      </c>
      <c r="U200" s="12">
        <v>-38</v>
      </c>
      <c r="V200" s="12">
        <v>180</v>
      </c>
      <c r="W200" s="15">
        <v>4.3</v>
      </c>
      <c r="X200" s="15">
        <v>3.7</v>
      </c>
      <c r="Y200" s="24">
        <v>21</v>
      </c>
      <c r="Z200" s="19">
        <v>7.2</v>
      </c>
      <c r="AA200" s="19">
        <v>7.2</v>
      </c>
      <c r="AB200" s="19">
        <v>41</v>
      </c>
      <c r="AC200" s="49">
        <v>3</v>
      </c>
      <c r="AD200" s="27">
        <v>2</v>
      </c>
      <c r="AE200" s="27">
        <v>3</v>
      </c>
      <c r="AF200" s="31">
        <v>0.4</v>
      </c>
      <c r="AG200" s="15">
        <v>63.59824661711454</v>
      </c>
      <c r="AH200" s="44">
        <v>9.5</v>
      </c>
      <c r="AI200" s="44">
        <v>5.8</v>
      </c>
      <c r="AJ200" s="44">
        <v>31</v>
      </c>
      <c r="AK200" s="44">
        <v>5.8</v>
      </c>
      <c r="AL200" s="44">
        <v>5.3</v>
      </c>
      <c r="AM200" s="44">
        <v>27</v>
      </c>
      <c r="AN200" s="19"/>
      <c r="AO200" s="19"/>
      <c r="AP200" s="84">
        <v>0</v>
      </c>
      <c r="AQ200" s="60">
        <v>11886</v>
      </c>
      <c r="AR200" s="60">
        <v>6597</v>
      </c>
      <c r="AS200" s="60">
        <v>4515</v>
      </c>
      <c r="AT200" s="60">
        <v>12289.291999999999</v>
      </c>
      <c r="AU200" s="24">
        <v>48800</v>
      </c>
      <c r="AV200" s="60">
        <v>8182.292865390441</v>
      </c>
      <c r="AW200" s="24">
        <v>10594.28</v>
      </c>
      <c r="AX200" s="24">
        <v>8119.14</v>
      </c>
      <c r="AY200" s="60">
        <v>836.44</v>
      </c>
      <c r="AZ200" s="60">
        <v>775.55</v>
      </c>
    </row>
    <row r="201" spans="1:52">
      <c r="A201" s="8" t="s">
        <v>199</v>
      </c>
      <c r="B201" s="10" t="s">
        <v>263</v>
      </c>
      <c r="C201" s="10" t="s">
        <v>261</v>
      </c>
      <c r="D201" s="15" t="s">
        <v>282</v>
      </c>
      <c r="E201" s="15">
        <v>47.3</v>
      </c>
      <c r="F201" s="15" t="s">
        <v>280</v>
      </c>
      <c r="G201" s="12">
        <v>8819.6797882105657</v>
      </c>
      <c r="H201" s="12">
        <v>4459</v>
      </c>
      <c r="I201" s="12">
        <v>4361</v>
      </c>
      <c r="J201" s="15">
        <v>8.8000000000000007</v>
      </c>
      <c r="K201" s="15">
        <v>11.3</v>
      </c>
      <c r="L201" s="15">
        <v>12.2</v>
      </c>
      <c r="M201" s="15">
        <v>8.4</v>
      </c>
      <c r="N201" s="15">
        <v>12.301587301587301</v>
      </c>
      <c r="O201" s="15">
        <v>19.682539682539684</v>
      </c>
      <c r="P201" s="15">
        <v>15.476190476190476</v>
      </c>
      <c r="Q201" s="15">
        <v>3.7</v>
      </c>
      <c r="R201" s="15">
        <v>8.1</v>
      </c>
      <c r="S201" s="15">
        <v>37.9</v>
      </c>
      <c r="T201" s="15">
        <v>2.9</v>
      </c>
      <c r="U201" s="12">
        <v>98</v>
      </c>
      <c r="V201" s="12" t="s">
        <v>282</v>
      </c>
      <c r="W201" s="15">
        <v>9.1999999999999993</v>
      </c>
      <c r="X201" s="15">
        <v>9.1999999999999993</v>
      </c>
      <c r="Y201" s="24">
        <v>52</v>
      </c>
      <c r="Z201" s="19">
        <v>9.3000000000000007</v>
      </c>
      <c r="AA201" s="19">
        <v>9.3000000000000007</v>
      </c>
      <c r="AB201" s="19">
        <v>37</v>
      </c>
      <c r="AC201" s="58"/>
      <c r="AD201" s="27"/>
      <c r="AE201" s="27"/>
      <c r="AF201" s="33" t="s">
        <v>282</v>
      </c>
      <c r="AG201" s="15" t="s">
        <v>282</v>
      </c>
      <c r="AH201" s="44">
        <v>16.3</v>
      </c>
      <c r="AI201" s="44">
        <v>12.5</v>
      </c>
      <c r="AJ201" s="44">
        <v>53</v>
      </c>
      <c r="AK201" s="44">
        <v>21.2</v>
      </c>
      <c r="AL201" s="44">
        <v>21</v>
      </c>
      <c r="AM201" s="44">
        <v>94</v>
      </c>
      <c r="AN201" s="19"/>
      <c r="AO201" s="19"/>
      <c r="AP201" s="84">
        <v>0</v>
      </c>
      <c r="AQ201" s="60">
        <v>17669</v>
      </c>
      <c r="AR201" s="60">
        <v>8636</v>
      </c>
      <c r="AS201" s="60">
        <v>8396</v>
      </c>
      <c r="AT201" s="60">
        <v>12559</v>
      </c>
      <c r="AU201" s="24">
        <v>11698</v>
      </c>
      <c r="AV201" s="60">
        <v>3719.2960274871202</v>
      </c>
      <c r="AW201" s="24">
        <v>9689</v>
      </c>
      <c r="AX201" s="24">
        <v>9229</v>
      </c>
      <c r="AY201" s="60">
        <v>101</v>
      </c>
      <c r="AZ201" s="60">
        <v>0</v>
      </c>
    </row>
    <row r="202" spans="1:52">
      <c r="A202" s="3" t="s">
        <v>200</v>
      </c>
      <c r="B202" s="7" t="s">
        <v>263</v>
      </c>
      <c r="C202" s="7" t="s">
        <v>261</v>
      </c>
      <c r="D202" s="15">
        <v>13.864712169796917</v>
      </c>
      <c r="E202" s="15">
        <v>57.07</v>
      </c>
      <c r="F202" s="15" t="s">
        <v>280</v>
      </c>
      <c r="G202" s="12">
        <v>14477.490832834917</v>
      </c>
      <c r="H202" s="12">
        <v>7284</v>
      </c>
      <c r="I202" s="12">
        <v>7193</v>
      </c>
      <c r="J202" s="15">
        <v>6.7</v>
      </c>
      <c r="K202" s="15">
        <v>9.3000000000000007</v>
      </c>
      <c r="L202" s="15">
        <v>9.9</v>
      </c>
      <c r="M202" s="15">
        <v>9.6</v>
      </c>
      <c r="N202" s="15">
        <v>13.096636043379153</v>
      </c>
      <c r="O202" s="15">
        <v>15.417558886509635</v>
      </c>
      <c r="P202" s="15">
        <v>22.760240381294466</v>
      </c>
      <c r="Q202" s="15">
        <v>4</v>
      </c>
      <c r="R202" s="15">
        <v>9.3000000000000007</v>
      </c>
      <c r="S202" s="15">
        <v>31.7</v>
      </c>
      <c r="T202" s="15">
        <v>3.1</v>
      </c>
      <c r="U202" s="12">
        <v>213</v>
      </c>
      <c r="V202" s="12">
        <v>334</v>
      </c>
      <c r="W202" s="15">
        <v>46.1</v>
      </c>
      <c r="X202" s="15">
        <v>43.1</v>
      </c>
      <c r="Y202" s="24">
        <v>206</v>
      </c>
      <c r="Z202" s="19">
        <v>23.3</v>
      </c>
      <c r="AA202" s="19">
        <v>23.2</v>
      </c>
      <c r="AB202" s="19">
        <v>117</v>
      </c>
      <c r="AC202" s="50">
        <v>9</v>
      </c>
      <c r="AD202" s="27">
        <v>9</v>
      </c>
      <c r="AE202" s="27">
        <v>6</v>
      </c>
      <c r="AF202" s="31">
        <v>0.3</v>
      </c>
      <c r="AG202" s="15">
        <v>74.727481353987386</v>
      </c>
      <c r="AH202" s="44">
        <v>4.3</v>
      </c>
      <c r="AI202" s="44">
        <v>3.3</v>
      </c>
      <c r="AJ202" s="44">
        <v>17</v>
      </c>
      <c r="AK202" s="44">
        <v>4.3</v>
      </c>
      <c r="AL202" s="44">
        <v>4.3</v>
      </c>
      <c r="AM202" s="44">
        <v>22</v>
      </c>
      <c r="AN202" s="19"/>
      <c r="AO202" s="19"/>
      <c r="AP202" s="84">
        <v>0</v>
      </c>
      <c r="AQ202" s="60">
        <v>55189</v>
      </c>
      <c r="AR202" s="60">
        <v>40714</v>
      </c>
      <c r="AS202" s="60">
        <v>34321</v>
      </c>
      <c r="AT202" s="60">
        <v>34999</v>
      </c>
      <c r="AU202" s="24">
        <v>54746</v>
      </c>
      <c r="AV202" s="60">
        <v>7591.0253557715478</v>
      </c>
      <c r="AW202" s="24">
        <v>43728</v>
      </c>
      <c r="AX202" s="24">
        <v>37181</v>
      </c>
      <c r="AY202" s="60">
        <v>3637</v>
      </c>
      <c r="AZ202" s="60">
        <v>0</v>
      </c>
    </row>
    <row r="203" spans="1:52" ht="17" thickBot="1">
      <c r="A203" s="4" t="s">
        <v>201</v>
      </c>
      <c r="B203" s="7" t="s">
        <v>263</v>
      </c>
      <c r="C203" s="7" t="s">
        <v>260</v>
      </c>
      <c r="D203" s="16">
        <v>13.670156273706569</v>
      </c>
      <c r="E203" s="16">
        <v>9.06</v>
      </c>
      <c r="F203" s="16">
        <v>99.8</v>
      </c>
      <c r="G203" s="13">
        <v>22848.80442551677</v>
      </c>
      <c r="H203" s="13">
        <v>11385</v>
      </c>
      <c r="I203" s="13">
        <v>11464</v>
      </c>
      <c r="J203" s="16">
        <v>17.5</v>
      </c>
      <c r="K203" s="16">
        <v>14.4</v>
      </c>
      <c r="L203" s="16">
        <v>12.8</v>
      </c>
      <c r="M203" s="16">
        <v>12</v>
      </c>
      <c r="N203" s="16">
        <v>18.565363910893257</v>
      </c>
      <c r="O203" s="16">
        <v>13.847433148058997</v>
      </c>
      <c r="P203" s="16">
        <v>7.6414722744977901</v>
      </c>
      <c r="Q203" s="16">
        <v>1.3</v>
      </c>
      <c r="R203" s="16">
        <v>2</v>
      </c>
      <c r="S203" s="16">
        <v>51.7</v>
      </c>
      <c r="T203" s="16">
        <v>0.6</v>
      </c>
      <c r="U203" s="17">
        <v>-212</v>
      </c>
      <c r="V203" s="17">
        <v>294</v>
      </c>
      <c r="W203" s="16">
        <v>10</v>
      </c>
      <c r="X203" s="16">
        <v>9.6</v>
      </c>
      <c r="Y203" s="25">
        <v>43</v>
      </c>
      <c r="Z203" s="25">
        <v>3.1</v>
      </c>
      <c r="AA203" s="25">
        <v>3.1</v>
      </c>
      <c r="AB203" s="25">
        <v>12</v>
      </c>
      <c r="AC203" s="50">
        <v>1</v>
      </c>
      <c r="AD203" s="28">
        <v>1</v>
      </c>
      <c r="AE203" s="28">
        <v>3</v>
      </c>
      <c r="AF203" s="32">
        <v>0.3</v>
      </c>
      <c r="AG203" s="16">
        <v>53.306466385784944</v>
      </c>
      <c r="AH203" s="43"/>
      <c r="AI203" s="43"/>
      <c r="AJ203" s="43"/>
      <c r="AK203" s="43"/>
      <c r="AL203" s="43"/>
      <c r="AM203" s="43"/>
      <c r="AN203" s="19"/>
      <c r="AO203" s="19"/>
      <c r="AP203" s="85">
        <v>0</v>
      </c>
      <c r="AQ203" s="61">
        <v>14309</v>
      </c>
      <c r="AR203" s="61">
        <v>2364</v>
      </c>
      <c r="AS203" s="61">
        <v>2157</v>
      </c>
      <c r="AT203" s="61">
        <v>55554</v>
      </c>
      <c r="AU203" s="63">
        <v>89317</v>
      </c>
      <c r="AV203" s="61">
        <v>4715.6077838222873</v>
      </c>
      <c r="AW203" s="63">
        <v>14418</v>
      </c>
      <c r="AX203" s="63">
        <v>13179</v>
      </c>
      <c r="AY203" s="61">
        <v>964</v>
      </c>
      <c r="AZ203" s="61">
        <v>0</v>
      </c>
    </row>
    <row r="204" spans="1:52">
      <c r="A204" s="5" t="s">
        <v>202</v>
      </c>
      <c r="B204" s="7" t="s">
        <v>264</v>
      </c>
      <c r="C204" s="7" t="s">
        <v>260</v>
      </c>
      <c r="D204" s="15">
        <v>10.80793007887444</v>
      </c>
      <c r="E204" s="15">
        <v>7.9</v>
      </c>
      <c r="F204" s="15">
        <v>99.6</v>
      </c>
      <c r="G204" s="12">
        <v>18100.856646118078</v>
      </c>
      <c r="H204" s="12">
        <v>9295</v>
      </c>
      <c r="I204" s="12">
        <v>8806</v>
      </c>
      <c r="J204" s="15">
        <v>19</v>
      </c>
      <c r="K204" s="15">
        <v>12.9</v>
      </c>
      <c r="L204" s="15">
        <v>11.2</v>
      </c>
      <c r="M204" s="15">
        <v>10.4</v>
      </c>
      <c r="N204" s="15">
        <v>19.026573117507318</v>
      </c>
      <c r="O204" s="15">
        <v>15.66211811502127</v>
      </c>
      <c r="P204" s="15">
        <v>8.2260648582951212</v>
      </c>
      <c r="Q204" s="15">
        <v>1.6</v>
      </c>
      <c r="R204" s="15">
        <v>2</v>
      </c>
      <c r="S204" s="15">
        <v>49.2</v>
      </c>
      <c r="T204" s="15">
        <v>0.7</v>
      </c>
      <c r="U204" s="12">
        <v>239</v>
      </c>
      <c r="V204" s="12">
        <v>212</v>
      </c>
      <c r="W204" s="15">
        <v>11.8</v>
      </c>
      <c r="X204" s="15">
        <v>5.4</v>
      </c>
      <c r="Y204" s="24">
        <v>21</v>
      </c>
      <c r="Z204" s="19">
        <v>4.4000000000000004</v>
      </c>
      <c r="AA204" s="19">
        <v>1.7</v>
      </c>
      <c r="AB204" s="19">
        <v>7</v>
      </c>
      <c r="AC204" s="49">
        <v>1</v>
      </c>
      <c r="AD204" s="27">
        <v>1</v>
      </c>
      <c r="AE204" s="27">
        <v>3</v>
      </c>
      <c r="AF204" s="31">
        <v>0</v>
      </c>
      <c r="AG204" s="15">
        <v>53.17647058823529</v>
      </c>
      <c r="AH204" s="24"/>
      <c r="AI204" s="19"/>
      <c r="AJ204" s="19"/>
      <c r="AK204" s="19"/>
      <c r="AL204" s="19"/>
      <c r="AM204" s="19"/>
      <c r="AN204" s="24"/>
      <c r="AO204" s="19"/>
      <c r="AP204" s="84">
        <v>0</v>
      </c>
      <c r="AQ204" s="60">
        <v>20883</v>
      </c>
      <c r="AR204" s="60">
        <v>2850</v>
      </c>
      <c r="AS204" s="60">
        <v>10</v>
      </c>
      <c r="AT204" s="60">
        <v>84111.823000000004</v>
      </c>
      <c r="AU204" s="24">
        <v>175046</v>
      </c>
      <c r="AV204" s="60">
        <v>11746.460632049635</v>
      </c>
      <c r="AW204" s="24">
        <v>21186.388999999999</v>
      </c>
      <c r="AX204" s="24">
        <v>17475.823</v>
      </c>
      <c r="AY204" s="60">
        <v>593.52499999999998</v>
      </c>
      <c r="AZ204" s="60">
        <v>48.406999999999996</v>
      </c>
    </row>
    <row r="205" spans="1:52">
      <c r="A205" s="5" t="s">
        <v>203</v>
      </c>
      <c r="B205" s="7" t="s">
        <v>264</v>
      </c>
      <c r="C205" s="7" t="s">
        <v>260</v>
      </c>
      <c r="D205" s="15">
        <v>13.182177695755341</v>
      </c>
      <c r="E205" s="15">
        <v>10.7</v>
      </c>
      <c r="F205" s="15">
        <v>99.9</v>
      </c>
      <c r="G205" s="12">
        <v>8565.0658924476011</v>
      </c>
      <c r="H205" s="12">
        <v>4402</v>
      </c>
      <c r="I205" s="12">
        <v>4163</v>
      </c>
      <c r="J205" s="15">
        <v>11</v>
      </c>
      <c r="K205" s="15">
        <v>10.1</v>
      </c>
      <c r="L205" s="15">
        <v>9.1</v>
      </c>
      <c r="M205" s="15">
        <v>9.5</v>
      </c>
      <c r="N205" s="15">
        <v>20.408639813193226</v>
      </c>
      <c r="O205" s="15">
        <v>18.260361938120255</v>
      </c>
      <c r="P205" s="15">
        <v>13.952130764740222</v>
      </c>
      <c r="Q205" s="15">
        <v>3</v>
      </c>
      <c r="R205" s="15">
        <v>4.7</v>
      </c>
      <c r="S205" s="15">
        <v>35.5</v>
      </c>
      <c r="T205" s="15">
        <v>1.6</v>
      </c>
      <c r="U205" s="12">
        <v>-3</v>
      </c>
      <c r="V205" s="12">
        <v>174</v>
      </c>
      <c r="W205" s="15">
        <v>19.899999999999999</v>
      </c>
      <c r="X205" s="15">
        <v>18.7</v>
      </c>
      <c r="Y205" s="24">
        <v>91</v>
      </c>
      <c r="Z205" s="19">
        <v>10.1</v>
      </c>
      <c r="AA205" s="19">
        <v>10</v>
      </c>
      <c r="AB205" s="19">
        <v>44</v>
      </c>
      <c r="AC205" s="49">
        <v>2</v>
      </c>
      <c r="AD205" s="27">
        <v>2</v>
      </c>
      <c r="AE205" s="27">
        <v>3</v>
      </c>
      <c r="AF205" s="31">
        <v>0</v>
      </c>
      <c r="AG205" s="15">
        <v>51.302535602639807</v>
      </c>
      <c r="AH205" s="19"/>
      <c r="AI205" s="19"/>
      <c r="AJ205" s="19"/>
      <c r="AK205" s="19"/>
      <c r="AL205" s="19"/>
      <c r="AM205" s="19"/>
      <c r="AN205" s="24"/>
      <c r="AO205" s="19"/>
      <c r="AP205" s="84">
        <v>0</v>
      </c>
      <c r="AQ205" s="60">
        <v>14961</v>
      </c>
      <c r="AR205" s="60">
        <v>5575</v>
      </c>
      <c r="AS205" s="60">
        <v>4670</v>
      </c>
      <c r="AT205" s="60">
        <v>8036</v>
      </c>
      <c r="AU205" s="24">
        <v>60052</v>
      </c>
      <c r="AV205" s="60">
        <v>8797.0134668127375</v>
      </c>
      <c r="AW205" s="24">
        <v>9312.9950000000008</v>
      </c>
      <c r="AX205" s="24">
        <v>8344</v>
      </c>
      <c r="AY205" s="60">
        <v>515.34</v>
      </c>
      <c r="AZ205" s="60">
        <v>0</v>
      </c>
    </row>
    <row r="206" spans="1:52">
      <c r="A206" s="5" t="s">
        <v>204</v>
      </c>
      <c r="B206" s="7" t="s">
        <v>264</v>
      </c>
      <c r="C206" s="7" t="s">
        <v>261</v>
      </c>
      <c r="D206" s="15">
        <v>18.416030534351144</v>
      </c>
      <c r="E206" s="15">
        <v>49.4</v>
      </c>
      <c r="F206" s="15" t="s">
        <v>280</v>
      </c>
      <c r="G206" s="12">
        <v>2260.8635246777576</v>
      </c>
      <c r="H206" s="12">
        <v>1138</v>
      </c>
      <c r="I206" s="12">
        <v>1123</v>
      </c>
      <c r="J206" s="15">
        <v>6.1</v>
      </c>
      <c r="K206" s="15">
        <v>9.6</v>
      </c>
      <c r="L206" s="15">
        <v>10.4</v>
      </c>
      <c r="M206" s="15">
        <v>8.6999999999999993</v>
      </c>
      <c r="N206" s="15">
        <v>10.747456877487839</v>
      </c>
      <c r="O206" s="15">
        <v>19.725785050862452</v>
      </c>
      <c r="P206" s="15">
        <v>20.079610791685095</v>
      </c>
      <c r="Q206" s="15">
        <v>5.3</v>
      </c>
      <c r="R206" s="15">
        <v>9.3000000000000007</v>
      </c>
      <c r="S206" s="15">
        <v>31.5</v>
      </c>
      <c r="T206" s="15">
        <v>2.6</v>
      </c>
      <c r="U206" s="12">
        <v>-41</v>
      </c>
      <c r="V206" s="12">
        <v>54</v>
      </c>
      <c r="W206" s="15">
        <v>0.7</v>
      </c>
      <c r="X206" s="15">
        <v>0.6</v>
      </c>
      <c r="Y206" s="24">
        <v>3</v>
      </c>
      <c r="Z206" s="19">
        <v>0.4</v>
      </c>
      <c r="AA206" s="19">
        <v>0.4</v>
      </c>
      <c r="AB206" s="19">
        <v>2</v>
      </c>
      <c r="AC206" s="49">
        <v>8</v>
      </c>
      <c r="AD206" s="27">
        <v>8</v>
      </c>
      <c r="AE206" s="27">
        <v>4</v>
      </c>
      <c r="AF206" s="31">
        <v>0</v>
      </c>
      <c r="AG206" s="15">
        <v>73.977936404931867</v>
      </c>
      <c r="AH206" s="19"/>
      <c r="AI206" s="19"/>
      <c r="AJ206" s="19"/>
      <c r="AK206" s="19"/>
      <c r="AL206" s="19"/>
      <c r="AM206" s="19"/>
      <c r="AN206" s="24"/>
      <c r="AO206" s="19"/>
      <c r="AP206" s="84">
        <v>0</v>
      </c>
      <c r="AQ206" s="60">
        <v>9055</v>
      </c>
      <c r="AR206" s="60">
        <v>3662</v>
      </c>
      <c r="AS206" s="60">
        <v>3491</v>
      </c>
      <c r="AT206" s="60">
        <v>4097.8024999999998</v>
      </c>
      <c r="AU206" s="24">
        <v>12156</v>
      </c>
      <c r="AV206" s="60">
        <v>9380.0442921571957</v>
      </c>
      <c r="AW206" s="24">
        <v>3795.8424</v>
      </c>
      <c r="AX206" s="24">
        <v>3504.8024999999998</v>
      </c>
      <c r="AY206" s="60">
        <v>218.61500000000001</v>
      </c>
      <c r="AZ206" s="60">
        <v>5.7887000000000004</v>
      </c>
    </row>
    <row r="207" spans="1:52">
      <c r="A207" s="5" t="s">
        <v>205</v>
      </c>
      <c r="B207" s="7" t="s">
        <v>264</v>
      </c>
      <c r="C207" s="7" t="s">
        <v>261</v>
      </c>
      <c r="D207" s="15">
        <v>17.080359913124418</v>
      </c>
      <c r="E207" s="15">
        <v>43</v>
      </c>
      <c r="F207" s="15" t="s">
        <v>280</v>
      </c>
      <c r="G207" s="12">
        <v>15336.200018614481</v>
      </c>
      <c r="H207" s="12">
        <v>7938</v>
      </c>
      <c r="I207" s="12">
        <v>7398</v>
      </c>
      <c r="J207" s="15">
        <v>9.1999999999999993</v>
      </c>
      <c r="K207" s="15">
        <v>10.9</v>
      </c>
      <c r="L207" s="15">
        <v>10.1</v>
      </c>
      <c r="M207" s="15">
        <v>9.4</v>
      </c>
      <c r="N207" s="15">
        <v>11.339332290036515</v>
      </c>
      <c r="O207" s="15">
        <v>18.78586332811685</v>
      </c>
      <c r="P207" s="15">
        <v>14.599634846113718</v>
      </c>
      <c r="Q207" s="15">
        <v>3.6</v>
      </c>
      <c r="R207" s="15">
        <v>12.1</v>
      </c>
      <c r="S207" s="15">
        <v>35.5</v>
      </c>
      <c r="T207" s="15">
        <v>4.9000000000000004</v>
      </c>
      <c r="U207" s="12" t="s">
        <v>280</v>
      </c>
      <c r="V207" s="12">
        <v>292</v>
      </c>
      <c r="W207" s="15">
        <v>27.4</v>
      </c>
      <c r="X207" s="15">
        <v>17.600000000000001</v>
      </c>
      <c r="Y207" s="24">
        <v>84</v>
      </c>
      <c r="Z207" s="19">
        <v>61.6</v>
      </c>
      <c r="AA207" s="19">
        <v>16.8</v>
      </c>
      <c r="AB207" s="19">
        <v>79</v>
      </c>
      <c r="AC207" s="49">
        <v>6</v>
      </c>
      <c r="AD207" s="27">
        <v>6</v>
      </c>
      <c r="AE207" s="27">
        <v>2</v>
      </c>
      <c r="AF207" s="31">
        <v>0.1</v>
      </c>
      <c r="AG207" s="15">
        <v>67.588187774885554</v>
      </c>
      <c r="AH207" s="19"/>
      <c r="AI207" s="19"/>
      <c r="AJ207" s="19"/>
      <c r="AK207" s="19"/>
      <c r="AL207" s="19"/>
      <c r="AM207" s="19"/>
      <c r="AN207" s="19"/>
      <c r="AO207" s="19"/>
      <c r="AP207" s="84">
        <v>0</v>
      </c>
      <c r="AQ207" s="60">
        <v>72266</v>
      </c>
      <c r="AR207" s="60">
        <v>44196</v>
      </c>
      <c r="AS207" s="60">
        <v>16752</v>
      </c>
      <c r="AT207" s="60">
        <v>19892</v>
      </c>
      <c r="AU207" s="24">
        <v>148477</v>
      </c>
      <c r="AV207" s="60">
        <v>14388.76643054737</v>
      </c>
      <c r="AW207" s="24">
        <v>57422</v>
      </c>
      <c r="AX207" s="24">
        <v>24054</v>
      </c>
      <c r="AY207" s="60">
        <v>5260</v>
      </c>
      <c r="AZ207" s="60">
        <v>6602</v>
      </c>
    </row>
    <row r="208" spans="1:52">
      <c r="A208" s="5" t="s">
        <v>206</v>
      </c>
      <c r="B208" s="7" t="s">
        <v>264</v>
      </c>
      <c r="C208" s="7" t="s">
        <v>261</v>
      </c>
      <c r="D208" s="15">
        <v>13.891261030458299</v>
      </c>
      <c r="E208" s="15">
        <v>43.1</v>
      </c>
      <c r="F208" s="15" t="s">
        <v>280</v>
      </c>
      <c r="G208" s="12">
        <v>23762.002027979994</v>
      </c>
      <c r="H208" s="12">
        <v>11943</v>
      </c>
      <c r="I208" s="12">
        <v>11819</v>
      </c>
      <c r="J208" s="15">
        <v>8</v>
      </c>
      <c r="K208" s="15">
        <v>9.1</v>
      </c>
      <c r="L208" s="15">
        <v>9.1999999999999993</v>
      </c>
      <c r="M208" s="15">
        <v>8.9</v>
      </c>
      <c r="N208" s="15">
        <v>13.205959094352327</v>
      </c>
      <c r="O208" s="15">
        <v>17.145021462839829</v>
      </c>
      <c r="P208" s="15">
        <v>17.439609460483123</v>
      </c>
      <c r="Q208" s="15">
        <v>4.8</v>
      </c>
      <c r="R208" s="15">
        <v>12.1</v>
      </c>
      <c r="S208" s="15">
        <v>31.9</v>
      </c>
      <c r="T208" s="15">
        <v>5</v>
      </c>
      <c r="U208" s="12">
        <v>-248</v>
      </c>
      <c r="V208" s="12">
        <v>524</v>
      </c>
      <c r="W208" s="15">
        <v>19.399999999999999</v>
      </c>
      <c r="X208" s="15">
        <v>8.9</v>
      </c>
      <c r="Y208" s="24">
        <v>31</v>
      </c>
      <c r="Z208" s="19">
        <v>14.1</v>
      </c>
      <c r="AA208" s="19">
        <v>5.5</v>
      </c>
      <c r="AB208" s="19">
        <v>20</v>
      </c>
      <c r="AC208" s="49">
        <v>7</v>
      </c>
      <c r="AD208" s="27">
        <v>7</v>
      </c>
      <c r="AE208" s="27">
        <v>6</v>
      </c>
      <c r="AF208" s="31">
        <v>1.7</v>
      </c>
      <c r="AG208" s="15">
        <v>76.864759109806798</v>
      </c>
      <c r="AH208" s="19"/>
      <c r="AI208" s="19"/>
      <c r="AJ208" s="19"/>
      <c r="AK208" s="19"/>
      <c r="AL208" s="19"/>
      <c r="AM208" s="19"/>
      <c r="AN208" s="19"/>
      <c r="AO208" s="19"/>
      <c r="AP208" s="84">
        <v>0</v>
      </c>
      <c r="AQ208" s="60">
        <v>274042</v>
      </c>
      <c r="AR208" s="60">
        <v>178446</v>
      </c>
      <c r="AS208" s="60">
        <v>37375</v>
      </c>
      <c r="AT208" s="60">
        <v>49325</v>
      </c>
      <c r="AU208" s="24">
        <v>64769</v>
      </c>
      <c r="AV208" s="60">
        <v>13919.071280717193</v>
      </c>
      <c r="AW208" s="24">
        <v>217903</v>
      </c>
      <c r="AX208" s="24">
        <v>42487</v>
      </c>
      <c r="AY208" s="60">
        <v>58204</v>
      </c>
      <c r="AZ208" s="60">
        <v>71670</v>
      </c>
    </row>
    <row r="209" spans="1:52">
      <c r="A209" s="5" t="s">
        <v>207</v>
      </c>
      <c r="B209" s="7" t="s">
        <v>264</v>
      </c>
      <c r="C209" s="7" t="s">
        <v>260</v>
      </c>
      <c r="D209" s="15">
        <v>14.289264413518888</v>
      </c>
      <c r="E209" s="15">
        <v>13.2</v>
      </c>
      <c r="F209" s="15">
        <v>99.9</v>
      </c>
      <c r="G209" s="12">
        <v>8254.7276124412092</v>
      </c>
      <c r="H209" s="12">
        <v>4212</v>
      </c>
      <c r="I209" s="12">
        <v>4043</v>
      </c>
      <c r="J209" s="15">
        <v>9</v>
      </c>
      <c r="K209" s="15">
        <v>8.1999999999999993</v>
      </c>
      <c r="L209" s="15">
        <v>9</v>
      </c>
      <c r="M209" s="15">
        <v>9.6</v>
      </c>
      <c r="N209" s="15">
        <v>18.740157480314963</v>
      </c>
      <c r="O209" s="15">
        <v>19.224712295578435</v>
      </c>
      <c r="P209" s="15">
        <v>16.099333737129012</v>
      </c>
      <c r="Q209" s="15">
        <v>3.5</v>
      </c>
      <c r="R209" s="15">
        <v>6.7</v>
      </c>
      <c r="S209" s="15">
        <v>31.6</v>
      </c>
      <c r="T209" s="15">
        <v>2.2999999999999998</v>
      </c>
      <c r="U209" s="12">
        <v>-3</v>
      </c>
      <c r="V209" s="12">
        <v>180</v>
      </c>
      <c r="W209" s="15">
        <v>12.4</v>
      </c>
      <c r="X209" s="15">
        <v>9.3000000000000007</v>
      </c>
      <c r="Y209" s="24">
        <v>43</v>
      </c>
      <c r="Z209" s="19">
        <v>2.7</v>
      </c>
      <c r="AA209" s="19">
        <v>2.7</v>
      </c>
      <c r="AB209" s="19">
        <v>11</v>
      </c>
      <c r="AC209" s="49">
        <v>3</v>
      </c>
      <c r="AD209" s="27">
        <v>3</v>
      </c>
      <c r="AE209" s="27">
        <v>3</v>
      </c>
      <c r="AF209" s="31">
        <v>0</v>
      </c>
      <c r="AG209" s="15">
        <v>51.934156378600825</v>
      </c>
      <c r="AH209" s="19"/>
      <c r="AI209" s="19"/>
      <c r="AJ209" s="19"/>
      <c r="AK209" s="19"/>
      <c r="AL209" s="19"/>
      <c r="AM209" s="19"/>
      <c r="AN209" s="19"/>
      <c r="AO209" s="19"/>
      <c r="AP209" s="84">
        <v>0</v>
      </c>
      <c r="AQ209" s="60">
        <v>15194</v>
      </c>
      <c r="AR209" s="60">
        <v>7267</v>
      </c>
      <c r="AS209" s="60">
        <v>6375</v>
      </c>
      <c r="AT209" s="60">
        <v>9457</v>
      </c>
      <c r="AU209" s="24">
        <v>33479</v>
      </c>
      <c r="AV209" s="60">
        <v>5991.2334267046945</v>
      </c>
      <c r="AW209" s="24">
        <v>12877</v>
      </c>
      <c r="AX209" s="24">
        <v>11828</v>
      </c>
      <c r="AY209" s="60">
        <v>662</v>
      </c>
      <c r="AZ209" s="60">
        <v>0</v>
      </c>
    </row>
    <row r="210" spans="1:52">
      <c r="A210" s="5" t="s">
        <v>208</v>
      </c>
      <c r="B210" s="7" t="s">
        <v>264</v>
      </c>
      <c r="C210" s="7" t="s">
        <v>261</v>
      </c>
      <c r="D210" s="15">
        <v>12.038794012228546</v>
      </c>
      <c r="E210" s="15">
        <v>66.099999999999994</v>
      </c>
      <c r="F210" s="15" t="s">
        <v>280</v>
      </c>
      <c r="G210" s="12">
        <v>11628.296079578928</v>
      </c>
      <c r="H210" s="12">
        <v>5875</v>
      </c>
      <c r="I210" s="12">
        <v>5753</v>
      </c>
      <c r="J210" s="15">
        <v>8</v>
      </c>
      <c r="K210" s="15">
        <v>11.7</v>
      </c>
      <c r="L210" s="15">
        <v>12.5</v>
      </c>
      <c r="M210" s="15">
        <v>10.1</v>
      </c>
      <c r="N210" s="15">
        <v>10.311317509459924</v>
      </c>
      <c r="O210" s="15">
        <v>18.773649810801512</v>
      </c>
      <c r="P210" s="15">
        <v>16.787065703474372</v>
      </c>
      <c r="Q210" s="15">
        <v>3.1</v>
      </c>
      <c r="R210" s="15">
        <v>8.6999999999999993</v>
      </c>
      <c r="S210" s="15">
        <v>38.1</v>
      </c>
      <c r="T210" s="15">
        <v>3.8</v>
      </c>
      <c r="U210" s="12">
        <v>121</v>
      </c>
      <c r="V210" s="12">
        <v>216</v>
      </c>
      <c r="W210" s="15">
        <v>65.3</v>
      </c>
      <c r="X210" s="15">
        <v>10.8</v>
      </c>
      <c r="Y210" s="24">
        <v>42</v>
      </c>
      <c r="Z210" s="19">
        <v>52</v>
      </c>
      <c r="AA210" s="19">
        <v>12.1</v>
      </c>
      <c r="AB210" s="19">
        <v>41</v>
      </c>
      <c r="AC210" s="49">
        <v>7</v>
      </c>
      <c r="AD210" s="27">
        <v>7</v>
      </c>
      <c r="AE210" s="27">
        <v>3</v>
      </c>
      <c r="AF210" s="31">
        <v>0.2</v>
      </c>
      <c r="AG210" s="15">
        <v>74.066693237677697</v>
      </c>
      <c r="AH210" s="19"/>
      <c r="AI210" s="19"/>
      <c r="AJ210" s="19"/>
      <c r="AK210" s="19"/>
      <c r="AL210" s="19"/>
      <c r="AM210" s="19"/>
      <c r="AN210" s="19"/>
      <c r="AO210" s="19"/>
      <c r="AP210" s="84">
        <v>0</v>
      </c>
      <c r="AQ210" s="60">
        <v>136919</v>
      </c>
      <c r="AR210" s="60">
        <v>55079</v>
      </c>
      <c r="AS210" s="60">
        <v>16207</v>
      </c>
      <c r="AT210" s="60">
        <v>17567</v>
      </c>
      <c r="AU210" s="24">
        <v>63498</v>
      </c>
      <c r="AV210" s="60">
        <v>17144.988279935445</v>
      </c>
      <c r="AW210" s="24">
        <v>66860</v>
      </c>
      <c r="AX210" s="24">
        <v>17823</v>
      </c>
      <c r="AY210" s="60">
        <v>14347</v>
      </c>
      <c r="AZ210" s="60">
        <v>3376</v>
      </c>
    </row>
    <row r="211" spans="1:52">
      <c r="A211" s="5" t="s">
        <v>209</v>
      </c>
      <c r="B211" s="7" t="s">
        <v>264</v>
      </c>
      <c r="C211" s="7" t="s">
        <v>261</v>
      </c>
      <c r="D211" s="15">
        <v>12.815308785155116</v>
      </c>
      <c r="E211" s="15">
        <v>61.7</v>
      </c>
      <c r="F211" s="15" t="s">
        <v>280</v>
      </c>
      <c r="G211" s="12">
        <v>8072.5731067514726</v>
      </c>
      <c r="H211" s="12">
        <v>4035</v>
      </c>
      <c r="I211" s="12">
        <v>4038</v>
      </c>
      <c r="J211" s="15">
        <v>7.2</v>
      </c>
      <c r="K211" s="15">
        <v>9.1999999999999993</v>
      </c>
      <c r="L211" s="15">
        <v>9.9</v>
      </c>
      <c r="M211" s="15">
        <v>8.8000000000000007</v>
      </c>
      <c r="N211" s="15">
        <v>10.268797225318965</v>
      </c>
      <c r="O211" s="15">
        <v>17.255047689830299</v>
      </c>
      <c r="P211" s="15">
        <v>19.732441471571907</v>
      </c>
      <c r="Q211" s="15">
        <v>3.4</v>
      </c>
      <c r="R211" s="15">
        <v>14.1</v>
      </c>
      <c r="S211" s="15">
        <v>32</v>
      </c>
      <c r="T211" s="15">
        <v>6.8</v>
      </c>
      <c r="U211" s="12">
        <v>-83</v>
      </c>
      <c r="V211" s="12">
        <v>122</v>
      </c>
      <c r="W211" s="15">
        <v>8</v>
      </c>
      <c r="X211" s="15">
        <v>7.4</v>
      </c>
      <c r="Y211" s="24">
        <v>38</v>
      </c>
      <c r="Z211" s="19">
        <v>8.5</v>
      </c>
      <c r="AA211" s="19">
        <v>3.1</v>
      </c>
      <c r="AB211" s="19">
        <v>14</v>
      </c>
      <c r="AC211" s="49">
        <v>8</v>
      </c>
      <c r="AD211" s="27">
        <v>8</v>
      </c>
      <c r="AE211" s="27">
        <v>7</v>
      </c>
      <c r="AF211" s="31">
        <v>0.7</v>
      </c>
      <c r="AG211" s="15">
        <v>75.420757363253855</v>
      </c>
      <c r="AH211" s="19"/>
      <c r="AI211" s="19"/>
      <c r="AJ211" s="19"/>
      <c r="AK211" s="19"/>
      <c r="AL211" s="19"/>
      <c r="AM211" s="19"/>
      <c r="AN211" s="19"/>
      <c r="AO211" s="19"/>
      <c r="AP211" s="84">
        <v>0</v>
      </c>
      <c r="AQ211" s="60">
        <v>49420</v>
      </c>
      <c r="AR211" s="60">
        <v>34110</v>
      </c>
      <c r="AS211" s="60">
        <v>12765</v>
      </c>
      <c r="AT211" s="60">
        <v>13083.53</v>
      </c>
      <c r="AU211" s="24">
        <v>48786</v>
      </c>
      <c r="AV211" s="60">
        <v>12165.389981772441</v>
      </c>
      <c r="AW211" s="24">
        <v>35064.67</v>
      </c>
      <c r="AX211" s="24">
        <v>14505.53</v>
      </c>
      <c r="AY211" s="60">
        <v>6217.69</v>
      </c>
      <c r="AZ211" s="60">
        <v>3083.5</v>
      </c>
    </row>
    <row r="212" spans="1:52">
      <c r="A212" s="5" t="s">
        <v>210</v>
      </c>
      <c r="B212" s="7" t="s">
        <v>264</v>
      </c>
      <c r="C212" s="7" t="s">
        <v>261</v>
      </c>
      <c r="D212" s="15">
        <v>14.963167587476981</v>
      </c>
      <c r="E212" s="15">
        <v>63</v>
      </c>
      <c r="F212" s="15" t="s">
        <v>280</v>
      </c>
      <c r="G212" s="12">
        <v>5200.6700442797755</v>
      </c>
      <c r="H212" s="12">
        <v>2577</v>
      </c>
      <c r="I212" s="12">
        <v>2623</v>
      </c>
      <c r="J212" s="15">
        <v>5.9</v>
      </c>
      <c r="K212" s="15">
        <v>7.9</v>
      </c>
      <c r="L212" s="15">
        <v>10.9</v>
      </c>
      <c r="M212" s="15">
        <v>8.8000000000000007</v>
      </c>
      <c r="N212" s="15">
        <v>11.997692751393963</v>
      </c>
      <c r="O212" s="15">
        <v>14.747164006921745</v>
      </c>
      <c r="P212" s="15">
        <v>20.572966737165927</v>
      </c>
      <c r="Q212" s="15">
        <v>4.2</v>
      </c>
      <c r="R212" s="15">
        <v>14.9</v>
      </c>
      <c r="S212" s="15">
        <v>29.8</v>
      </c>
      <c r="T212" s="15">
        <v>6.9</v>
      </c>
      <c r="U212" s="12">
        <v>-31</v>
      </c>
      <c r="V212" s="12">
        <v>98</v>
      </c>
      <c r="W212" s="15">
        <v>4.0999999999999996</v>
      </c>
      <c r="X212" s="15">
        <v>2.8</v>
      </c>
      <c r="Y212" s="24">
        <v>12</v>
      </c>
      <c r="Z212" s="19">
        <v>9.3000000000000007</v>
      </c>
      <c r="AA212" s="19">
        <v>1.2</v>
      </c>
      <c r="AB212" s="19">
        <v>4</v>
      </c>
      <c r="AC212" s="49">
        <v>9</v>
      </c>
      <c r="AD212" s="27">
        <v>9</v>
      </c>
      <c r="AE212" s="27">
        <v>6</v>
      </c>
      <c r="AF212" s="31">
        <v>0.9</v>
      </c>
      <c r="AG212" s="15">
        <v>74.945295404814004</v>
      </c>
      <c r="AH212" s="19"/>
      <c r="AI212" s="19"/>
      <c r="AJ212" s="19"/>
      <c r="AK212" s="19"/>
      <c r="AL212" s="19"/>
      <c r="AM212" s="19"/>
      <c r="AN212" s="19"/>
      <c r="AO212" s="19"/>
      <c r="AP212" s="84">
        <v>0</v>
      </c>
      <c r="AQ212" s="60">
        <v>32750</v>
      </c>
      <c r="AR212" s="60">
        <v>21820</v>
      </c>
      <c r="AS212" s="60">
        <v>12444</v>
      </c>
      <c r="AT212" s="60">
        <v>12920</v>
      </c>
      <c r="AU212" s="24">
        <v>11990</v>
      </c>
      <c r="AV212" s="60">
        <v>8598.6997097011554</v>
      </c>
      <c r="AW212" s="24">
        <v>22115.985000000001</v>
      </c>
      <c r="AX212" s="24">
        <v>13595</v>
      </c>
      <c r="AY212" s="60">
        <v>2715.8</v>
      </c>
      <c r="AZ212" s="60">
        <v>2974</v>
      </c>
    </row>
    <row r="213" spans="1:52">
      <c r="A213" s="5" t="s">
        <v>211</v>
      </c>
      <c r="B213" s="7" t="s">
        <v>264</v>
      </c>
      <c r="C213" s="7" t="s">
        <v>261</v>
      </c>
      <c r="D213" s="15">
        <v>17.353972669004715</v>
      </c>
      <c r="E213" s="15">
        <v>47.6</v>
      </c>
      <c r="F213" s="15" t="s">
        <v>280</v>
      </c>
      <c r="G213" s="12">
        <v>20102.954721151975</v>
      </c>
      <c r="H213" s="12">
        <v>10526</v>
      </c>
      <c r="I213" s="12">
        <v>9577</v>
      </c>
      <c r="J213" s="15">
        <v>9.6999999999999993</v>
      </c>
      <c r="K213" s="15">
        <v>11.4</v>
      </c>
      <c r="L213" s="15">
        <v>10.7</v>
      </c>
      <c r="M213" s="15">
        <v>13.5</v>
      </c>
      <c r="N213" s="15">
        <v>11.237128786748245</v>
      </c>
      <c r="O213" s="15">
        <v>18.634034721185895</v>
      </c>
      <c r="P213" s="15">
        <v>13.192060886434861</v>
      </c>
      <c r="Q213" s="15">
        <v>3.4</v>
      </c>
      <c r="R213" s="15">
        <v>8.3000000000000007</v>
      </c>
      <c r="S213" s="15">
        <v>39.5</v>
      </c>
      <c r="T213" s="15">
        <v>1.6</v>
      </c>
      <c r="U213" s="12">
        <v>566</v>
      </c>
      <c r="V213" s="12">
        <v>503</v>
      </c>
      <c r="W213" s="15">
        <v>55.2</v>
      </c>
      <c r="X213" s="15">
        <v>43.6</v>
      </c>
      <c r="Y213" s="24">
        <v>205</v>
      </c>
      <c r="Z213" s="19">
        <v>37.299999999999997</v>
      </c>
      <c r="AA213" s="19">
        <v>25.1</v>
      </c>
      <c r="AB213" s="19">
        <v>115</v>
      </c>
      <c r="AC213" s="49">
        <v>6</v>
      </c>
      <c r="AD213" s="27">
        <v>6</v>
      </c>
      <c r="AE213" s="27">
        <v>1</v>
      </c>
      <c r="AF213" s="31">
        <v>0</v>
      </c>
      <c r="AG213" s="15">
        <v>68.603926456840142</v>
      </c>
      <c r="AH213" s="19"/>
      <c r="AI213" s="19"/>
      <c r="AJ213" s="19"/>
      <c r="AK213" s="19"/>
      <c r="AL213" s="19"/>
      <c r="AM213" s="19"/>
      <c r="AN213" s="19"/>
      <c r="AO213" s="19"/>
      <c r="AP213" s="84">
        <v>0</v>
      </c>
      <c r="AQ213" s="60">
        <v>87776</v>
      </c>
      <c r="AR213" s="60">
        <v>52213.9</v>
      </c>
      <c r="AS213" s="60">
        <v>22588.400000000001</v>
      </c>
      <c r="AT213" s="60">
        <v>27331.572</v>
      </c>
      <c r="AU213" s="24">
        <v>96822</v>
      </c>
      <c r="AV213" s="60">
        <v>9513.7258503977973</v>
      </c>
      <c r="AW213" s="24">
        <v>54114.074000000001</v>
      </c>
      <c r="AX213" s="24">
        <v>25907.075000000001</v>
      </c>
      <c r="AY213" s="60">
        <v>2384.4639999999999</v>
      </c>
      <c r="AZ213" s="60">
        <v>3659.48</v>
      </c>
    </row>
    <row r="214" spans="1:52">
      <c r="A214" s="5" t="s">
        <v>212</v>
      </c>
      <c r="B214" s="7" t="s">
        <v>264</v>
      </c>
      <c r="C214" s="7" t="s">
        <v>261</v>
      </c>
      <c r="D214" s="15">
        <v>16.094420600858371</v>
      </c>
      <c r="E214" s="15">
        <v>52.5</v>
      </c>
      <c r="F214" s="15" t="s">
        <v>280</v>
      </c>
      <c r="G214" s="12">
        <v>26503.385786014831</v>
      </c>
      <c r="H214" s="12">
        <v>13649</v>
      </c>
      <c r="I214" s="12">
        <v>12854</v>
      </c>
      <c r="J214" s="15">
        <v>12.7</v>
      </c>
      <c r="K214" s="15">
        <v>13.2</v>
      </c>
      <c r="L214" s="15">
        <v>12.8</v>
      </c>
      <c r="M214" s="15">
        <v>9.4</v>
      </c>
      <c r="N214" s="15">
        <v>14.745500509376297</v>
      </c>
      <c r="O214" s="15">
        <v>18.020601441346262</v>
      </c>
      <c r="P214" s="15">
        <v>11.485492208429235</v>
      </c>
      <c r="Q214" s="15">
        <v>2.4</v>
      </c>
      <c r="R214" s="15">
        <v>5.2</v>
      </c>
      <c r="S214" s="15">
        <v>44.3</v>
      </c>
      <c r="T214" s="15">
        <v>1.7</v>
      </c>
      <c r="U214" s="12">
        <v>327</v>
      </c>
      <c r="V214" s="12">
        <v>429</v>
      </c>
      <c r="W214" s="15">
        <v>100.2</v>
      </c>
      <c r="X214" s="15">
        <v>87.5</v>
      </c>
      <c r="Y214" s="24">
        <v>472</v>
      </c>
      <c r="Z214" s="19">
        <v>11.3</v>
      </c>
      <c r="AA214" s="19">
        <v>9.1</v>
      </c>
      <c r="AB214" s="19">
        <v>51</v>
      </c>
      <c r="AC214" s="49">
        <v>6</v>
      </c>
      <c r="AD214" s="27">
        <v>6</v>
      </c>
      <c r="AE214" s="27">
        <v>4</v>
      </c>
      <c r="AF214" s="31" t="s">
        <v>282</v>
      </c>
      <c r="AG214" s="15">
        <v>72.311722331368699</v>
      </c>
      <c r="AH214" s="19"/>
      <c r="AI214" s="19"/>
      <c r="AJ214" s="19"/>
      <c r="AK214" s="19"/>
      <c r="AL214" s="19"/>
      <c r="AM214" s="19"/>
      <c r="AN214" s="24"/>
      <c r="AO214" s="19"/>
      <c r="AP214" s="84">
        <v>0</v>
      </c>
      <c r="AQ214" s="60">
        <v>70454</v>
      </c>
      <c r="AR214" s="60">
        <v>42045</v>
      </c>
      <c r="AS214" s="60">
        <v>33567</v>
      </c>
      <c r="AT214" s="60">
        <v>36748</v>
      </c>
      <c r="AU214" s="24">
        <v>161579</v>
      </c>
      <c r="AV214" s="60">
        <v>8693.6062380973817</v>
      </c>
      <c r="AW214" s="24">
        <v>44119</v>
      </c>
      <c r="AX214" s="24">
        <v>34965</v>
      </c>
      <c r="AY214" s="60">
        <v>4056</v>
      </c>
      <c r="AZ214" s="60">
        <v>686</v>
      </c>
    </row>
    <row r="215" spans="1:52">
      <c r="A215" s="5" t="s">
        <v>213</v>
      </c>
      <c r="B215" s="7" t="s">
        <v>264</v>
      </c>
      <c r="C215" s="7" t="s">
        <v>261</v>
      </c>
      <c r="D215" s="15">
        <v>13.06119188368749</v>
      </c>
      <c r="E215" s="15">
        <v>53.8</v>
      </c>
      <c r="F215" s="15" t="s">
        <v>280</v>
      </c>
      <c r="G215" s="12">
        <v>27729.676690334698</v>
      </c>
      <c r="H215" s="12">
        <v>14226</v>
      </c>
      <c r="I215" s="12">
        <v>13503</v>
      </c>
      <c r="J215" s="15">
        <v>8.1</v>
      </c>
      <c r="K215" s="15">
        <v>9.6999999999999993</v>
      </c>
      <c r="L215" s="15">
        <v>9.9</v>
      </c>
      <c r="M215" s="15">
        <v>8.8000000000000007</v>
      </c>
      <c r="N215" s="15">
        <v>11.583122971510999</v>
      </c>
      <c r="O215" s="15">
        <v>17.529751172015867</v>
      </c>
      <c r="P215" s="15">
        <v>18.095924990984493</v>
      </c>
      <c r="Q215" s="15">
        <v>4.5</v>
      </c>
      <c r="R215" s="15">
        <v>11.8</v>
      </c>
      <c r="S215" s="15">
        <v>33.299999999999997</v>
      </c>
      <c r="T215" s="15">
        <v>4.2</v>
      </c>
      <c r="U215" s="12">
        <v>-157</v>
      </c>
      <c r="V215" s="12">
        <v>519</v>
      </c>
      <c r="W215" s="15">
        <v>23.6</v>
      </c>
      <c r="X215" s="15">
        <v>13.5</v>
      </c>
      <c r="Y215" s="24">
        <v>42</v>
      </c>
      <c r="Z215" s="19">
        <v>32.200000000000003</v>
      </c>
      <c r="AA215" s="19">
        <v>16.2</v>
      </c>
      <c r="AB215" s="19">
        <v>67</v>
      </c>
      <c r="AC215" s="49">
        <v>8</v>
      </c>
      <c r="AD215" s="27">
        <v>8</v>
      </c>
      <c r="AE215" s="27">
        <v>6</v>
      </c>
      <c r="AF215" s="31">
        <v>0.3</v>
      </c>
      <c r="AG215" s="15">
        <v>77.208661015218055</v>
      </c>
      <c r="AH215" s="19"/>
      <c r="AI215" s="19"/>
      <c r="AJ215" s="19"/>
      <c r="AK215" s="19"/>
      <c r="AL215" s="19"/>
      <c r="AM215" s="19"/>
      <c r="AN215" s="24"/>
      <c r="AO215" s="19"/>
      <c r="AP215" s="84">
        <v>0</v>
      </c>
      <c r="AQ215" s="60">
        <v>162637</v>
      </c>
      <c r="AR215" s="60">
        <v>124519</v>
      </c>
      <c r="AS215" s="60">
        <v>48203</v>
      </c>
      <c r="AT215" s="60">
        <v>55298.45</v>
      </c>
      <c r="AU215" s="24">
        <v>72959</v>
      </c>
      <c r="AV215" s="60">
        <v>8429.7412699902106</v>
      </c>
      <c r="AW215" s="24">
        <v>117152.98</v>
      </c>
      <c r="AX215" s="24">
        <v>47838.45</v>
      </c>
      <c r="AY215" s="60">
        <v>16921.490000000002</v>
      </c>
      <c r="AZ215" s="60">
        <v>23846.080000000002</v>
      </c>
    </row>
    <row r="216" spans="1:52">
      <c r="A216" s="5" t="s">
        <v>214</v>
      </c>
      <c r="B216" s="7" t="s">
        <v>264</v>
      </c>
      <c r="C216" s="7" t="s">
        <v>261</v>
      </c>
      <c r="D216" s="15">
        <v>15.834182806659872</v>
      </c>
      <c r="E216" s="15">
        <v>55.3</v>
      </c>
      <c r="F216" s="15" t="s">
        <v>280</v>
      </c>
      <c r="G216" s="12">
        <v>6575.1074214642276</v>
      </c>
      <c r="H216" s="12">
        <v>3352</v>
      </c>
      <c r="I216" s="12">
        <v>3223</v>
      </c>
      <c r="J216" s="15">
        <v>7.6</v>
      </c>
      <c r="K216" s="15">
        <v>8.3000000000000007</v>
      </c>
      <c r="L216" s="15">
        <v>8.1999999999999993</v>
      </c>
      <c r="M216" s="15">
        <v>9.6999999999999993</v>
      </c>
      <c r="N216" s="15">
        <v>12.730038022813689</v>
      </c>
      <c r="O216" s="15">
        <v>17.977186311787072</v>
      </c>
      <c r="P216" s="15">
        <v>18.64638783269962</v>
      </c>
      <c r="Q216" s="15">
        <v>4.9000000000000004</v>
      </c>
      <c r="R216" s="15">
        <v>12.1</v>
      </c>
      <c r="S216" s="15">
        <v>30.1</v>
      </c>
      <c r="T216" s="15">
        <v>5.5</v>
      </c>
      <c r="U216" s="12">
        <v>1</v>
      </c>
      <c r="V216" s="12">
        <v>124</v>
      </c>
      <c r="W216" s="15">
        <v>9.1999999999999993</v>
      </c>
      <c r="X216" s="15">
        <v>6.6</v>
      </c>
      <c r="Y216" s="24">
        <v>23</v>
      </c>
      <c r="Z216" s="19">
        <v>7.1</v>
      </c>
      <c r="AA216" s="19">
        <v>4.9000000000000004</v>
      </c>
      <c r="AB216" s="19">
        <v>18</v>
      </c>
      <c r="AC216" s="49">
        <v>8</v>
      </c>
      <c r="AD216" s="27">
        <v>8</v>
      </c>
      <c r="AE216" s="27">
        <v>7</v>
      </c>
      <c r="AF216" s="31">
        <v>0.5</v>
      </c>
      <c r="AG216" s="15">
        <v>73.354838709677423</v>
      </c>
      <c r="AH216" s="19"/>
      <c r="AI216" s="19"/>
      <c r="AJ216" s="19"/>
      <c r="AK216" s="19"/>
      <c r="AL216" s="19"/>
      <c r="AM216" s="19"/>
      <c r="AN216" s="24"/>
      <c r="AO216" s="19"/>
      <c r="AP216" s="84">
        <v>0</v>
      </c>
      <c r="AQ216" s="60">
        <v>37625</v>
      </c>
      <c r="AR216" s="60">
        <v>25334</v>
      </c>
      <c r="AS216" s="60">
        <v>10839</v>
      </c>
      <c r="AT216" s="60">
        <v>13197</v>
      </c>
      <c r="AU216" s="24">
        <v>10833</v>
      </c>
      <c r="AV216" s="60">
        <v>7341.6291028824262</v>
      </c>
      <c r="AW216" s="24">
        <v>35828</v>
      </c>
      <c r="AX216" s="24">
        <v>13059</v>
      </c>
      <c r="AY216" s="60">
        <v>7035</v>
      </c>
      <c r="AZ216" s="60">
        <v>4819</v>
      </c>
    </row>
    <row r="217" spans="1:52">
      <c r="A217" s="5" t="s">
        <v>215</v>
      </c>
      <c r="B217" s="7" t="s">
        <v>264</v>
      </c>
      <c r="C217" s="7" t="s">
        <v>261</v>
      </c>
      <c r="D217" s="15">
        <v>15.465015644763996</v>
      </c>
      <c r="E217" s="15">
        <v>53.6</v>
      </c>
      <c r="F217" s="15" t="s">
        <v>280</v>
      </c>
      <c r="G217" s="12">
        <v>34506.922615271935</v>
      </c>
      <c r="H217" s="12">
        <v>17242</v>
      </c>
      <c r="I217" s="12">
        <v>17265</v>
      </c>
      <c r="J217" s="15">
        <v>7</v>
      </c>
      <c r="K217" s="15">
        <v>9.8000000000000007</v>
      </c>
      <c r="L217" s="15">
        <v>9.6</v>
      </c>
      <c r="M217" s="15">
        <v>8.5</v>
      </c>
      <c r="N217" s="15">
        <v>10.887645984872634</v>
      </c>
      <c r="O217" s="15">
        <v>17.958675051438838</v>
      </c>
      <c r="P217" s="15">
        <v>19.795983423653173</v>
      </c>
      <c r="Q217" s="15">
        <v>4.2</v>
      </c>
      <c r="R217" s="15">
        <v>12.2</v>
      </c>
      <c r="S217" s="15">
        <v>31.8</v>
      </c>
      <c r="T217" s="15">
        <v>4.9000000000000004</v>
      </c>
      <c r="U217" s="12">
        <v>-94</v>
      </c>
      <c r="V217" s="12">
        <v>764</v>
      </c>
      <c r="W217" s="15">
        <v>41.2</v>
      </c>
      <c r="X217" s="15">
        <v>26.9</v>
      </c>
      <c r="Y217" s="24">
        <v>133</v>
      </c>
      <c r="Z217" s="19">
        <v>32.700000000000003</v>
      </c>
      <c r="AA217" s="19">
        <v>23</v>
      </c>
      <c r="AB217" s="19">
        <v>85</v>
      </c>
      <c r="AC217" s="49">
        <v>8</v>
      </c>
      <c r="AD217" s="27">
        <v>9</v>
      </c>
      <c r="AE217" s="27">
        <v>7</v>
      </c>
      <c r="AF217" s="31">
        <v>0.7</v>
      </c>
      <c r="AG217" s="15">
        <v>76.15066331100968</v>
      </c>
      <c r="AH217" s="19"/>
      <c r="AI217" s="19"/>
      <c r="AJ217" s="19"/>
      <c r="AK217" s="19"/>
      <c r="AL217" s="19"/>
      <c r="AM217" s="19"/>
      <c r="AN217" s="24"/>
      <c r="AO217" s="19"/>
      <c r="AP217" s="84">
        <v>0</v>
      </c>
      <c r="AQ217" s="60">
        <v>222583</v>
      </c>
      <c r="AR217" s="60">
        <v>114251</v>
      </c>
      <c r="AS217" s="60">
        <v>60374</v>
      </c>
      <c r="AT217" s="60">
        <v>65923.085000000006</v>
      </c>
      <c r="AU217" s="24">
        <v>133539</v>
      </c>
      <c r="AV217" s="60">
        <v>10316.277808049173</v>
      </c>
      <c r="AW217" s="24">
        <v>123705.30882999999</v>
      </c>
      <c r="AX217" s="24">
        <v>65176.084999999999</v>
      </c>
      <c r="AY217" s="60">
        <v>22848.702000000001</v>
      </c>
      <c r="AZ217" s="60">
        <v>13434.592000000001</v>
      </c>
    </row>
    <row r="218" spans="1:52">
      <c r="A218" s="5" t="s">
        <v>216</v>
      </c>
      <c r="B218" s="7" t="s">
        <v>264</v>
      </c>
      <c r="C218" s="7" t="s">
        <v>261</v>
      </c>
      <c r="D218" s="15">
        <v>13.856427378964941</v>
      </c>
      <c r="E218" s="15">
        <v>31.4</v>
      </c>
      <c r="F218" s="15">
        <v>38.1</v>
      </c>
      <c r="G218" s="12">
        <v>32487.814541293661</v>
      </c>
      <c r="H218" s="12">
        <v>16506</v>
      </c>
      <c r="I218" s="12">
        <v>15982</v>
      </c>
      <c r="J218" s="15">
        <v>8.6</v>
      </c>
      <c r="K218" s="15">
        <v>9.6999999999999993</v>
      </c>
      <c r="L218" s="15">
        <v>9.6</v>
      </c>
      <c r="M218" s="15">
        <v>8.8000000000000007</v>
      </c>
      <c r="N218" s="15">
        <v>15.024008864811622</v>
      </c>
      <c r="O218" s="15">
        <v>17.837355331199213</v>
      </c>
      <c r="P218" s="15">
        <v>16.569194779610932</v>
      </c>
      <c r="Q218" s="15">
        <v>3.6</v>
      </c>
      <c r="R218" s="15">
        <v>10.3</v>
      </c>
      <c r="S218" s="15">
        <v>33.4</v>
      </c>
      <c r="T218" s="15">
        <v>4.5999999999999996</v>
      </c>
      <c r="U218" s="12">
        <v>82</v>
      </c>
      <c r="V218" s="12">
        <v>704</v>
      </c>
      <c r="W218" s="15">
        <v>90.1</v>
      </c>
      <c r="X218" s="15">
        <v>37.4</v>
      </c>
      <c r="Y218" s="24">
        <v>181</v>
      </c>
      <c r="Z218" s="19">
        <v>135.5</v>
      </c>
      <c r="AA218" s="19">
        <v>37.799999999999997</v>
      </c>
      <c r="AB218" s="19">
        <v>170</v>
      </c>
      <c r="AC218" s="49">
        <v>5</v>
      </c>
      <c r="AD218" s="27">
        <v>5</v>
      </c>
      <c r="AE218" s="27">
        <v>3</v>
      </c>
      <c r="AF218" s="31">
        <v>0.2</v>
      </c>
      <c r="AG218" s="15">
        <v>62.101493580225345</v>
      </c>
      <c r="AH218" s="19"/>
      <c r="AI218" s="19"/>
      <c r="AJ218" s="19"/>
      <c r="AK218" s="19"/>
      <c r="AL218" s="19"/>
      <c r="AM218" s="19"/>
      <c r="AN218" s="24"/>
      <c r="AO218" s="19"/>
      <c r="AP218" s="84">
        <v>0</v>
      </c>
      <c r="AQ218" s="60">
        <v>109865</v>
      </c>
      <c r="AR218" s="60">
        <v>74911</v>
      </c>
      <c r="AS218" s="60">
        <v>42096</v>
      </c>
      <c r="AT218" s="60">
        <v>67718.31</v>
      </c>
      <c r="AU218" s="24">
        <v>122944</v>
      </c>
      <c r="AV218" s="60">
        <v>7163.7321034378374</v>
      </c>
      <c r="AW218" s="24">
        <v>91768.09</v>
      </c>
      <c r="AX218" s="24">
        <v>58252.31</v>
      </c>
      <c r="AY218" s="60">
        <v>4942.54</v>
      </c>
      <c r="AZ218" s="60">
        <v>16272.38</v>
      </c>
    </row>
    <row r="219" spans="1:52">
      <c r="A219" s="5" t="s">
        <v>217</v>
      </c>
      <c r="B219" s="7" t="s">
        <v>264</v>
      </c>
      <c r="C219" s="7" t="s">
        <v>261</v>
      </c>
      <c r="D219" s="15">
        <v>14.623807841752031</v>
      </c>
      <c r="E219" s="15">
        <v>51.5</v>
      </c>
      <c r="F219" s="15" t="s">
        <v>280</v>
      </c>
      <c r="G219" s="12">
        <v>19922.022847538425</v>
      </c>
      <c r="H219" s="12">
        <v>9793</v>
      </c>
      <c r="I219" s="12">
        <v>10129</v>
      </c>
      <c r="J219" s="15">
        <v>7.9</v>
      </c>
      <c r="K219" s="15">
        <v>9.8000000000000007</v>
      </c>
      <c r="L219" s="15">
        <v>8.5</v>
      </c>
      <c r="M219" s="15">
        <v>7.1</v>
      </c>
      <c r="N219" s="15">
        <v>9.9588394739483981</v>
      </c>
      <c r="O219" s="15">
        <v>20.535086838670814</v>
      </c>
      <c r="P219" s="15">
        <v>16.24836863768698</v>
      </c>
      <c r="Q219" s="15">
        <v>3.6</v>
      </c>
      <c r="R219" s="15">
        <v>16.399999999999999</v>
      </c>
      <c r="S219" s="15">
        <v>30.4</v>
      </c>
      <c r="T219" s="15">
        <v>8.1</v>
      </c>
      <c r="U219" s="12">
        <v>378</v>
      </c>
      <c r="V219" s="12">
        <v>447</v>
      </c>
      <c r="W219" s="15">
        <v>42.8</v>
      </c>
      <c r="X219" s="15">
        <v>29.1</v>
      </c>
      <c r="Y219" s="24">
        <v>136</v>
      </c>
      <c r="Z219" s="19">
        <v>43.7</v>
      </c>
      <c r="AA219" s="19">
        <v>29.9</v>
      </c>
      <c r="AB219" s="19">
        <v>150</v>
      </c>
      <c r="AC219" s="49">
        <v>7</v>
      </c>
      <c r="AD219" s="27">
        <v>7</v>
      </c>
      <c r="AE219" s="27">
        <v>1</v>
      </c>
      <c r="AF219" s="31">
        <v>0.3</v>
      </c>
      <c r="AG219" s="15">
        <v>67.45012838238199</v>
      </c>
      <c r="AH219" s="19"/>
      <c r="AI219" s="19"/>
      <c r="AJ219" s="19"/>
      <c r="AK219" s="19"/>
      <c r="AL219" s="19"/>
      <c r="AM219" s="19"/>
      <c r="AN219" s="24"/>
      <c r="AO219" s="19"/>
      <c r="AP219" s="84">
        <v>0</v>
      </c>
      <c r="AQ219" s="60">
        <v>120385</v>
      </c>
      <c r="AR219" s="60">
        <v>79623</v>
      </c>
      <c r="AS219" s="60">
        <v>29646</v>
      </c>
      <c r="AT219" s="60">
        <v>31464.01</v>
      </c>
      <c r="AU219" s="24">
        <v>124505</v>
      </c>
      <c r="AV219" s="60">
        <v>12276.112816034571</v>
      </c>
      <c r="AW219" s="24">
        <v>80913.495999999999</v>
      </c>
      <c r="AX219" s="24">
        <v>33891.51</v>
      </c>
      <c r="AY219" s="60">
        <v>12067.34</v>
      </c>
      <c r="AZ219" s="60">
        <v>13712.932000000001</v>
      </c>
    </row>
    <row r="220" spans="1:52">
      <c r="A220" s="5" t="s">
        <v>218</v>
      </c>
      <c r="B220" s="7" t="s">
        <v>264</v>
      </c>
      <c r="C220" s="7" t="s">
        <v>261</v>
      </c>
      <c r="D220" s="15">
        <v>14.624080387582989</v>
      </c>
      <c r="E220" s="15">
        <v>53.4</v>
      </c>
      <c r="F220" s="15" t="s">
        <v>280</v>
      </c>
      <c r="G220" s="12">
        <v>12981.887306530916</v>
      </c>
      <c r="H220" s="12">
        <v>6741</v>
      </c>
      <c r="I220" s="12">
        <v>6241</v>
      </c>
      <c r="J220" s="15">
        <v>8.3000000000000007</v>
      </c>
      <c r="K220" s="15">
        <v>10.5</v>
      </c>
      <c r="L220" s="15">
        <v>11.1</v>
      </c>
      <c r="M220" s="15">
        <v>12.8</v>
      </c>
      <c r="N220" s="15">
        <v>11.492836234786626</v>
      </c>
      <c r="O220" s="15">
        <v>16.045293483284549</v>
      </c>
      <c r="P220" s="15">
        <v>15.25188722847019</v>
      </c>
      <c r="Q220" s="15">
        <v>4</v>
      </c>
      <c r="R220" s="15">
        <v>10.5</v>
      </c>
      <c r="S220" s="15">
        <v>37.9</v>
      </c>
      <c r="T220" s="15">
        <v>3.1</v>
      </c>
      <c r="U220" s="12">
        <v>-55</v>
      </c>
      <c r="V220" s="12">
        <v>274</v>
      </c>
      <c r="W220" s="15">
        <v>38.700000000000003</v>
      </c>
      <c r="X220" s="15">
        <v>27</v>
      </c>
      <c r="Y220" s="24">
        <v>130</v>
      </c>
      <c r="Z220" s="19">
        <v>39.9</v>
      </c>
      <c r="AA220" s="19">
        <v>9.5</v>
      </c>
      <c r="AB220" s="19">
        <v>31</v>
      </c>
      <c r="AC220" s="49">
        <v>7</v>
      </c>
      <c r="AD220" s="27">
        <v>7</v>
      </c>
      <c r="AE220" s="27">
        <v>3</v>
      </c>
      <c r="AF220" s="31">
        <v>0.4</v>
      </c>
      <c r="AG220" s="15">
        <v>72.290119931467729</v>
      </c>
      <c r="AH220" s="19"/>
      <c r="AI220" s="19"/>
      <c r="AJ220" s="19"/>
      <c r="AK220" s="19"/>
      <c r="AL220" s="19"/>
      <c r="AM220" s="19"/>
      <c r="AN220" s="19"/>
      <c r="AO220" s="19"/>
      <c r="AP220" s="84">
        <v>0</v>
      </c>
      <c r="AQ220" s="60">
        <v>107196</v>
      </c>
      <c r="AR220" s="60">
        <v>53809</v>
      </c>
      <c r="AS220" s="60">
        <v>20354</v>
      </c>
      <c r="AT220" s="60">
        <v>25207</v>
      </c>
      <c r="AU220" s="24">
        <v>54015</v>
      </c>
      <c r="AV220" s="60">
        <v>12419.226588023997</v>
      </c>
      <c r="AW220" s="24">
        <v>78760</v>
      </c>
      <c r="AX220" s="24">
        <v>22408</v>
      </c>
      <c r="AY220" s="60">
        <v>6760</v>
      </c>
      <c r="AZ220" s="60">
        <v>10019</v>
      </c>
    </row>
    <row r="221" spans="1:52">
      <c r="A221" s="5" t="s">
        <v>219</v>
      </c>
      <c r="B221" s="7" t="s">
        <v>264</v>
      </c>
      <c r="C221" s="7" t="s">
        <v>261</v>
      </c>
      <c r="D221" s="15">
        <v>20.146726862302483</v>
      </c>
      <c r="E221" s="15">
        <v>42.6</v>
      </c>
      <c r="F221" s="15" t="s">
        <v>280</v>
      </c>
      <c r="G221" s="12">
        <v>3958.2987046210951</v>
      </c>
      <c r="H221" s="12">
        <v>1987</v>
      </c>
      <c r="I221" s="12">
        <v>1971</v>
      </c>
      <c r="J221" s="15">
        <v>7</v>
      </c>
      <c r="K221" s="15">
        <v>10.7</v>
      </c>
      <c r="L221" s="15">
        <v>10.3</v>
      </c>
      <c r="M221" s="15">
        <v>11.6</v>
      </c>
      <c r="N221" s="15">
        <v>9.9039919151086409</v>
      </c>
      <c r="O221" s="15">
        <v>18.014148559878727</v>
      </c>
      <c r="P221" s="15">
        <v>18.216270843860535</v>
      </c>
      <c r="Q221" s="15">
        <v>3.6</v>
      </c>
      <c r="R221" s="15">
        <v>10.7</v>
      </c>
      <c r="S221" s="15">
        <v>34.1</v>
      </c>
      <c r="T221" s="15">
        <v>3.4</v>
      </c>
      <c r="U221" s="12">
        <v>173</v>
      </c>
      <c r="V221" s="12">
        <v>95</v>
      </c>
      <c r="W221" s="15">
        <v>19.100000000000001</v>
      </c>
      <c r="X221" s="15">
        <v>7.1</v>
      </c>
      <c r="Y221" s="24">
        <v>34</v>
      </c>
      <c r="Z221" s="19">
        <v>15.4</v>
      </c>
      <c r="AA221" s="19">
        <v>4.5999999999999996</v>
      </c>
      <c r="AB221" s="19">
        <v>22</v>
      </c>
      <c r="AC221" s="49">
        <v>7</v>
      </c>
      <c r="AD221" s="27">
        <v>7</v>
      </c>
      <c r="AE221" s="27">
        <v>1</v>
      </c>
      <c r="AF221" s="31">
        <v>0</v>
      </c>
      <c r="AG221" s="15">
        <v>65.431243505368897</v>
      </c>
      <c r="AH221" s="19"/>
      <c r="AI221" s="19"/>
      <c r="AJ221" s="19"/>
      <c r="AK221" s="19"/>
      <c r="AL221" s="19"/>
      <c r="AM221" s="19"/>
      <c r="AN221" s="19"/>
      <c r="AO221" s="19"/>
      <c r="AP221" s="84">
        <v>0</v>
      </c>
      <c r="AQ221" s="60">
        <v>37923</v>
      </c>
      <c r="AR221" s="60">
        <v>25553</v>
      </c>
      <c r="AS221" s="60">
        <v>6195</v>
      </c>
      <c r="AT221" s="60">
        <v>7512</v>
      </c>
      <c r="AU221" s="24">
        <v>18948</v>
      </c>
      <c r="AV221" s="60">
        <v>14342.272839016165</v>
      </c>
      <c r="AW221" s="24">
        <v>30038</v>
      </c>
      <c r="AX221" s="24">
        <v>6977</v>
      </c>
      <c r="AY221" s="60">
        <v>3062</v>
      </c>
      <c r="AZ221" s="60">
        <v>1545</v>
      </c>
    </row>
    <row r="222" spans="1:52">
      <c r="A222" s="5" t="s">
        <v>220</v>
      </c>
      <c r="B222" s="7" t="s">
        <v>264</v>
      </c>
      <c r="C222" s="7" t="s">
        <v>261</v>
      </c>
      <c r="D222" s="15">
        <v>17.319643339637935</v>
      </c>
      <c r="E222" s="15">
        <v>59.4</v>
      </c>
      <c r="F222" s="15" t="s">
        <v>280</v>
      </c>
      <c r="G222" s="12">
        <v>10711.251851864976</v>
      </c>
      <c r="H222" s="12">
        <v>5864</v>
      </c>
      <c r="I222" s="12">
        <v>4847</v>
      </c>
      <c r="J222" s="15">
        <v>15.9</v>
      </c>
      <c r="K222" s="15">
        <v>15.8</v>
      </c>
      <c r="L222" s="15">
        <v>13.4</v>
      </c>
      <c r="M222" s="15">
        <v>9.1</v>
      </c>
      <c r="N222" s="15">
        <v>13.873587900289422</v>
      </c>
      <c r="O222" s="15">
        <v>19.269909438894594</v>
      </c>
      <c r="P222" s="15">
        <v>8.4212491830828107</v>
      </c>
      <c r="Q222" s="15">
        <v>2.1</v>
      </c>
      <c r="R222" s="15">
        <v>2.1</v>
      </c>
      <c r="S222" s="15">
        <v>50.2</v>
      </c>
      <c r="T222" s="15">
        <v>0.4</v>
      </c>
      <c r="U222" s="12">
        <v>188</v>
      </c>
      <c r="V222" s="12">
        <v>246</v>
      </c>
      <c r="W222" s="15">
        <v>19.899999999999999</v>
      </c>
      <c r="X222" s="15">
        <v>15.9</v>
      </c>
      <c r="Y222" s="24">
        <v>93</v>
      </c>
      <c r="Z222" s="19">
        <v>11.6</v>
      </c>
      <c r="AA222" s="19">
        <v>10.3</v>
      </c>
      <c r="AB222" s="19">
        <v>35</v>
      </c>
      <c r="AC222" s="49">
        <v>5</v>
      </c>
      <c r="AD222" s="27">
        <v>5</v>
      </c>
      <c r="AE222" s="27">
        <v>3</v>
      </c>
      <c r="AF222" s="31" t="s">
        <v>282</v>
      </c>
      <c r="AG222" s="15">
        <v>75.920885501723816</v>
      </c>
      <c r="AH222" s="19"/>
      <c r="AI222" s="19"/>
      <c r="AJ222" s="19"/>
      <c r="AK222" s="19"/>
      <c r="AL222" s="19"/>
      <c r="AM222" s="19"/>
      <c r="AN222" s="19"/>
      <c r="AO222" s="19"/>
      <c r="AP222" s="84">
        <v>16000</v>
      </c>
      <c r="AQ222" s="60">
        <v>33461</v>
      </c>
      <c r="AR222" s="60">
        <v>19990</v>
      </c>
      <c r="AS222" s="60">
        <v>12338</v>
      </c>
      <c r="AT222" s="60">
        <v>14659.8972592911</v>
      </c>
      <c r="AU222" s="24">
        <v>122367</v>
      </c>
      <c r="AV222" s="60">
        <v>16041.355611490293</v>
      </c>
      <c r="AW222" s="24">
        <v>20626.97</v>
      </c>
      <c r="AX222" s="24">
        <v>12521</v>
      </c>
      <c r="AY222" s="60">
        <v>1016.38</v>
      </c>
      <c r="AZ222" s="60">
        <v>5431</v>
      </c>
    </row>
    <row r="223" spans="1:52">
      <c r="A223" s="5" t="s">
        <v>221</v>
      </c>
      <c r="B223" s="7" t="s">
        <v>264</v>
      </c>
      <c r="C223" s="7" t="s">
        <v>261</v>
      </c>
      <c r="D223" s="15">
        <v>12.039610840861711</v>
      </c>
      <c r="E223" s="15">
        <v>41</v>
      </c>
      <c r="F223" s="15">
        <v>32.299999999999997</v>
      </c>
      <c r="G223" s="12">
        <v>14030.390284575684</v>
      </c>
      <c r="H223" s="12">
        <v>7137</v>
      </c>
      <c r="I223" s="12">
        <v>6894</v>
      </c>
      <c r="J223" s="15">
        <v>7.2</v>
      </c>
      <c r="K223" s="15">
        <v>8.4</v>
      </c>
      <c r="L223" s="15">
        <v>9.6</v>
      </c>
      <c r="M223" s="15">
        <v>10.199999999999999</v>
      </c>
      <c r="N223" s="15">
        <v>14.889522451888809</v>
      </c>
      <c r="O223" s="15">
        <v>17.106200997861727</v>
      </c>
      <c r="P223" s="15">
        <v>16.749821810406274</v>
      </c>
      <c r="Q223" s="15">
        <v>3.6</v>
      </c>
      <c r="R223" s="15">
        <v>12.3</v>
      </c>
      <c r="S223" s="15">
        <v>31.5</v>
      </c>
      <c r="T223" s="15">
        <v>5.8</v>
      </c>
      <c r="U223" s="12">
        <v>56</v>
      </c>
      <c r="V223" s="12">
        <v>1089</v>
      </c>
      <c r="W223" s="15">
        <v>14.5</v>
      </c>
      <c r="X223" s="15">
        <v>11.5</v>
      </c>
      <c r="Y223" s="24">
        <v>62</v>
      </c>
      <c r="Z223" s="24">
        <v>6.9</v>
      </c>
      <c r="AA223" s="24">
        <v>6</v>
      </c>
      <c r="AB223" s="24">
        <v>15</v>
      </c>
      <c r="AC223" s="49">
        <v>5</v>
      </c>
      <c r="AD223" s="27">
        <v>5</v>
      </c>
      <c r="AE223" s="27">
        <v>5</v>
      </c>
      <c r="AF223" s="31">
        <v>0.4</v>
      </c>
      <c r="AG223" s="15">
        <v>63.41813705375462</v>
      </c>
      <c r="AH223" s="19"/>
      <c r="AI223" s="19"/>
      <c r="AJ223" s="19"/>
      <c r="AK223" s="19"/>
      <c r="AL223" s="19"/>
      <c r="AM223" s="19"/>
      <c r="AN223" s="19"/>
      <c r="AO223" s="19"/>
      <c r="AP223" s="84">
        <v>0</v>
      </c>
      <c r="AQ223" s="60">
        <v>98265</v>
      </c>
      <c r="AR223" s="60">
        <v>38536</v>
      </c>
      <c r="AS223" s="60">
        <v>19969</v>
      </c>
      <c r="AT223" s="60">
        <v>27943</v>
      </c>
      <c r="AU223" s="24">
        <v>85654</v>
      </c>
      <c r="AV223" s="60">
        <v>13106.976803215955</v>
      </c>
      <c r="AW223" s="24">
        <v>44947.94</v>
      </c>
      <c r="AX223" s="24">
        <v>23554</v>
      </c>
      <c r="AY223" s="60">
        <v>9225</v>
      </c>
      <c r="AZ223" s="60">
        <v>3043</v>
      </c>
    </row>
    <row r="224" spans="1:52">
      <c r="A224" s="5" t="s">
        <v>222</v>
      </c>
      <c r="B224" s="7" t="s">
        <v>264</v>
      </c>
      <c r="C224" s="7" t="s">
        <v>261</v>
      </c>
      <c r="D224" s="15">
        <v>19.093286835222319</v>
      </c>
      <c r="E224" s="15">
        <v>44.7</v>
      </c>
      <c r="F224" s="15" t="s">
        <v>280</v>
      </c>
      <c r="G224" s="12">
        <v>4856.7206357767564</v>
      </c>
      <c r="H224" s="12">
        <v>2475</v>
      </c>
      <c r="I224" s="12">
        <v>2381</v>
      </c>
      <c r="J224" s="15">
        <v>7.2</v>
      </c>
      <c r="K224" s="15">
        <v>10.3</v>
      </c>
      <c r="L224" s="15">
        <v>9.6</v>
      </c>
      <c r="M224" s="15">
        <v>8.1</v>
      </c>
      <c r="N224" s="15">
        <v>12.847436689314392</v>
      </c>
      <c r="O224" s="15">
        <v>20.547663166563723</v>
      </c>
      <c r="P224" s="15">
        <v>18.138768787317275</v>
      </c>
      <c r="Q224" s="15">
        <v>4.8</v>
      </c>
      <c r="R224" s="15">
        <v>8.5</v>
      </c>
      <c r="S224" s="15">
        <v>31.9</v>
      </c>
      <c r="T224" s="15">
        <v>2.7</v>
      </c>
      <c r="U224" s="12">
        <v>50</v>
      </c>
      <c r="V224" s="12">
        <v>65</v>
      </c>
      <c r="W224" s="15">
        <v>3.3</v>
      </c>
      <c r="X224" s="15">
        <v>2.5</v>
      </c>
      <c r="Y224" s="24">
        <v>10</v>
      </c>
      <c r="Z224" s="19">
        <v>8.8000000000000007</v>
      </c>
      <c r="AA224" s="19">
        <v>6.7</v>
      </c>
      <c r="AB224" s="19">
        <v>44</v>
      </c>
      <c r="AC224" s="49">
        <v>5</v>
      </c>
      <c r="AD224" s="27">
        <v>5</v>
      </c>
      <c r="AE224" s="27">
        <v>1</v>
      </c>
      <c r="AF224" s="31">
        <v>0</v>
      </c>
      <c r="AG224" s="15">
        <v>58.577517314864146</v>
      </c>
      <c r="AH224" s="19"/>
      <c r="AI224" s="19"/>
      <c r="AJ224" s="19"/>
      <c r="AK224" s="19"/>
      <c r="AL224" s="19"/>
      <c r="AM224" s="19"/>
      <c r="AN224" s="19"/>
      <c r="AO224" s="19"/>
      <c r="AP224" s="84">
        <v>0</v>
      </c>
      <c r="AQ224" s="60">
        <v>89394</v>
      </c>
      <c r="AR224" s="60">
        <v>38164</v>
      </c>
      <c r="AS224" s="60">
        <v>11972</v>
      </c>
      <c r="AT224" s="60">
        <v>15477</v>
      </c>
      <c r="AU224" s="24">
        <v>55829</v>
      </c>
      <c r="AV224" s="60">
        <v>30280.308675090098</v>
      </c>
      <c r="AW224" s="24">
        <v>74513</v>
      </c>
      <c r="AX224" s="24">
        <v>18199</v>
      </c>
      <c r="AY224" s="60">
        <v>28371</v>
      </c>
      <c r="AZ224" s="60">
        <v>4345</v>
      </c>
    </row>
    <row r="225" spans="1:52">
      <c r="A225" s="5" t="s">
        <v>223</v>
      </c>
      <c r="B225" s="7" t="s">
        <v>264</v>
      </c>
      <c r="C225" s="7" t="s">
        <v>261</v>
      </c>
      <c r="D225" s="15">
        <v>15.230905861456485</v>
      </c>
      <c r="E225" s="15">
        <v>63.3</v>
      </c>
      <c r="F225" s="15" t="s">
        <v>280</v>
      </c>
      <c r="G225" s="12">
        <v>6962.4402833137683</v>
      </c>
      <c r="H225" s="12">
        <v>3379</v>
      </c>
      <c r="I225" s="12">
        <v>3584</v>
      </c>
      <c r="J225" s="15">
        <v>10.1</v>
      </c>
      <c r="K225" s="15">
        <v>9.5</v>
      </c>
      <c r="L225" s="15">
        <v>10</v>
      </c>
      <c r="M225" s="15">
        <v>16.399999999999999</v>
      </c>
      <c r="N225" s="15">
        <v>17.710428037920138</v>
      </c>
      <c r="O225" s="15">
        <v>13.444412525136453</v>
      </c>
      <c r="P225" s="15">
        <v>11.605860384946855</v>
      </c>
      <c r="Q225" s="15">
        <v>2.8</v>
      </c>
      <c r="R225" s="15">
        <v>8.6</v>
      </c>
      <c r="S225" s="15">
        <v>39.299999999999997</v>
      </c>
      <c r="T225" s="15">
        <v>3.3</v>
      </c>
      <c r="U225" s="12">
        <v>-165</v>
      </c>
      <c r="V225" s="12">
        <v>80</v>
      </c>
      <c r="W225" s="15">
        <v>8.6999999999999993</v>
      </c>
      <c r="X225" s="15">
        <v>2.2999999999999998</v>
      </c>
      <c r="Y225" s="24">
        <v>10</v>
      </c>
      <c r="Z225" s="19">
        <v>28.8</v>
      </c>
      <c r="AA225" s="19">
        <v>20.399999999999999</v>
      </c>
      <c r="AB225" s="19">
        <v>124</v>
      </c>
      <c r="AC225" s="49">
        <v>6</v>
      </c>
      <c r="AD225" s="27">
        <v>5</v>
      </c>
      <c r="AE225" s="27">
        <v>6</v>
      </c>
      <c r="AF225" s="31">
        <v>1.3</v>
      </c>
      <c r="AG225" s="15">
        <v>77.313266443701224</v>
      </c>
      <c r="AH225" s="19"/>
      <c r="AI225" s="19"/>
      <c r="AJ225" s="19"/>
      <c r="AK225" s="19"/>
      <c r="AL225" s="19"/>
      <c r="AM225" s="19"/>
      <c r="AN225" s="19"/>
      <c r="AO225" s="19"/>
      <c r="AP225" s="84">
        <v>0</v>
      </c>
      <c r="AQ225" s="60">
        <v>39754</v>
      </c>
      <c r="AR225" s="60">
        <v>33449</v>
      </c>
      <c r="AS225" s="60">
        <v>9858</v>
      </c>
      <c r="AT225" s="60">
        <v>11313.25</v>
      </c>
      <c r="AU225" s="24">
        <v>34244</v>
      </c>
      <c r="AV225" s="60">
        <v>10806.124999062973</v>
      </c>
      <c r="AW225" s="24">
        <v>33091</v>
      </c>
      <c r="AX225" s="24">
        <v>8897</v>
      </c>
      <c r="AY225" s="60">
        <v>14112</v>
      </c>
      <c r="AZ225" s="60">
        <v>3054</v>
      </c>
    </row>
    <row r="226" spans="1:52">
      <c r="A226" s="5" t="s">
        <v>224</v>
      </c>
      <c r="B226" s="7" t="s">
        <v>264</v>
      </c>
      <c r="C226" s="7" t="s">
        <v>261</v>
      </c>
      <c r="D226" s="15">
        <v>15.617831853994216</v>
      </c>
      <c r="E226" s="15">
        <v>46.4</v>
      </c>
      <c r="F226" s="15" t="s">
        <v>280</v>
      </c>
      <c r="G226" s="12">
        <v>24003.336660893496</v>
      </c>
      <c r="H226" s="12">
        <v>12328</v>
      </c>
      <c r="I226" s="12">
        <v>11676</v>
      </c>
      <c r="J226" s="15">
        <v>8.4</v>
      </c>
      <c r="K226" s="15">
        <v>9.4</v>
      </c>
      <c r="L226" s="15">
        <v>9.1999999999999993</v>
      </c>
      <c r="M226" s="15">
        <v>11</v>
      </c>
      <c r="N226" s="15">
        <v>12.915052285131026</v>
      </c>
      <c r="O226" s="15">
        <v>15.985501812273467</v>
      </c>
      <c r="P226" s="15">
        <v>17.914427363246261</v>
      </c>
      <c r="Q226" s="15">
        <v>4.5</v>
      </c>
      <c r="R226" s="15">
        <v>10.7</v>
      </c>
      <c r="S226" s="15">
        <v>33.799999999999997</v>
      </c>
      <c r="T226" s="15">
        <v>4</v>
      </c>
      <c r="U226" s="12">
        <v>-231</v>
      </c>
      <c r="V226" s="12">
        <v>431</v>
      </c>
      <c r="W226" s="15">
        <v>16.5</v>
      </c>
      <c r="X226" s="15">
        <v>2.4</v>
      </c>
      <c r="Y226" s="24">
        <v>10</v>
      </c>
      <c r="Z226" s="19">
        <v>10.1</v>
      </c>
      <c r="AA226" s="19">
        <v>3.8</v>
      </c>
      <c r="AB226" s="19">
        <v>14</v>
      </c>
      <c r="AC226" s="49">
        <v>7</v>
      </c>
      <c r="AD226" s="27">
        <v>7</v>
      </c>
      <c r="AE226" s="27">
        <v>7</v>
      </c>
      <c r="AF226" s="31">
        <v>0.9</v>
      </c>
      <c r="AG226" s="15">
        <v>77.511030365948614</v>
      </c>
      <c r="AH226" s="19"/>
      <c r="AI226" s="19"/>
      <c r="AJ226" s="19"/>
      <c r="AK226" s="19"/>
      <c r="AL226" s="19"/>
      <c r="AM226" s="19"/>
      <c r="AN226" s="19"/>
      <c r="AO226" s="19"/>
      <c r="AP226" s="84">
        <v>0</v>
      </c>
      <c r="AQ226" s="60">
        <v>182888</v>
      </c>
      <c r="AR226" s="60">
        <v>146550</v>
      </c>
      <c r="AS226" s="60">
        <v>30497</v>
      </c>
      <c r="AT226" s="60">
        <v>32959</v>
      </c>
      <c r="AU226" s="24">
        <v>61596</v>
      </c>
      <c r="AV226" s="60">
        <v>10172.08579996275</v>
      </c>
      <c r="AW226" s="24">
        <v>130928.09299999999</v>
      </c>
      <c r="AX226" s="24">
        <v>34761</v>
      </c>
      <c r="AY226" s="60">
        <v>37474</v>
      </c>
      <c r="AZ226" s="60">
        <v>16910</v>
      </c>
    </row>
    <row r="227" spans="1:52">
      <c r="A227" s="5" t="s">
        <v>225</v>
      </c>
      <c r="B227" s="7" t="s">
        <v>264</v>
      </c>
      <c r="C227" s="7" t="s">
        <v>261</v>
      </c>
      <c r="D227" s="15">
        <v>13.799712505989458</v>
      </c>
      <c r="E227" s="15">
        <v>49.2</v>
      </c>
      <c r="F227" s="15" t="s">
        <v>280</v>
      </c>
      <c r="G227" s="12">
        <v>19566.718456770846</v>
      </c>
      <c r="H227" s="12">
        <v>9758</v>
      </c>
      <c r="I227" s="12">
        <v>9808</v>
      </c>
      <c r="J227" s="15">
        <v>9.1999999999999993</v>
      </c>
      <c r="K227" s="15">
        <v>10.7</v>
      </c>
      <c r="L227" s="15">
        <v>10.1</v>
      </c>
      <c r="M227" s="15">
        <v>10.3</v>
      </c>
      <c r="N227" s="15">
        <v>11.877140082792456</v>
      </c>
      <c r="O227" s="15">
        <v>18.740736955077423</v>
      </c>
      <c r="P227" s="15">
        <v>14.856646394439618</v>
      </c>
      <c r="Q227" s="15">
        <v>3.7</v>
      </c>
      <c r="R227" s="15">
        <v>10.5</v>
      </c>
      <c r="S227" s="15">
        <v>36.200000000000003</v>
      </c>
      <c r="T227" s="15">
        <v>3.9</v>
      </c>
      <c r="U227" s="12">
        <v>6</v>
      </c>
      <c r="V227" s="12">
        <v>410</v>
      </c>
      <c r="W227" s="15">
        <v>40.700000000000003</v>
      </c>
      <c r="X227" s="15">
        <v>27.4</v>
      </c>
      <c r="Y227" s="24">
        <v>117</v>
      </c>
      <c r="Z227" s="19">
        <v>30.1</v>
      </c>
      <c r="AA227" s="19">
        <v>23.2</v>
      </c>
      <c r="AB227" s="19">
        <v>98</v>
      </c>
      <c r="AC227" s="49">
        <v>7</v>
      </c>
      <c r="AD227" s="27">
        <v>7</v>
      </c>
      <c r="AE227" s="27">
        <v>5</v>
      </c>
      <c r="AF227" s="31">
        <v>0.2</v>
      </c>
      <c r="AG227" s="15">
        <v>75.733736762481087</v>
      </c>
      <c r="AH227" s="19"/>
      <c r="AI227" s="19"/>
      <c r="AJ227" s="19"/>
      <c r="AK227" s="19"/>
      <c r="AL227" s="19"/>
      <c r="AM227" s="19"/>
      <c r="AN227" s="19"/>
      <c r="AO227" s="19"/>
      <c r="AP227" s="84">
        <v>0</v>
      </c>
      <c r="AQ227" s="60">
        <v>99104</v>
      </c>
      <c r="AR227" s="60">
        <v>58220</v>
      </c>
      <c r="AS227" s="60">
        <v>23822</v>
      </c>
      <c r="AT227" s="60">
        <v>29992</v>
      </c>
      <c r="AU227" s="24">
        <v>86891</v>
      </c>
      <c r="AV227" s="60">
        <v>9482.1725170680147</v>
      </c>
      <c r="AW227" s="24">
        <v>65649</v>
      </c>
      <c r="AX227" s="24">
        <v>30440</v>
      </c>
      <c r="AY227" s="60">
        <v>9993</v>
      </c>
      <c r="AZ227" s="60">
        <v>3467</v>
      </c>
    </row>
    <row r="228" spans="1:52">
      <c r="A228" s="5" t="s">
        <v>226</v>
      </c>
      <c r="B228" s="7" t="s">
        <v>264</v>
      </c>
      <c r="C228" s="7" t="s">
        <v>261</v>
      </c>
      <c r="D228" s="15">
        <v>14.23847629125058</v>
      </c>
      <c r="E228" s="15">
        <v>51.3</v>
      </c>
      <c r="F228" s="15" t="s">
        <v>280</v>
      </c>
      <c r="G228" s="12">
        <v>36467.501932353822</v>
      </c>
      <c r="H228" s="12">
        <v>18539</v>
      </c>
      <c r="I228" s="12">
        <v>17929</v>
      </c>
      <c r="J228" s="15">
        <v>8.1</v>
      </c>
      <c r="K228" s="15">
        <v>9.4</v>
      </c>
      <c r="L228" s="15">
        <v>9.1999999999999993</v>
      </c>
      <c r="M228" s="15">
        <v>9.6999999999999993</v>
      </c>
      <c r="N228" s="15">
        <v>10.886256444005705</v>
      </c>
      <c r="O228" s="15">
        <v>19.770757924755948</v>
      </c>
      <c r="P228" s="15">
        <v>16.918942634638586</v>
      </c>
      <c r="Q228" s="15">
        <v>4.0999999999999996</v>
      </c>
      <c r="R228" s="15">
        <v>12</v>
      </c>
      <c r="S228" s="15">
        <v>32.6</v>
      </c>
      <c r="T228" s="15">
        <v>4.5999999999999996</v>
      </c>
      <c r="U228" s="12">
        <v>423</v>
      </c>
      <c r="V228" s="12">
        <v>702</v>
      </c>
      <c r="W228" s="15">
        <v>75.5</v>
      </c>
      <c r="X228" s="15">
        <v>68.400000000000006</v>
      </c>
      <c r="Y228" s="24">
        <v>304</v>
      </c>
      <c r="Z228" s="19">
        <v>27.9</v>
      </c>
      <c r="AA228" s="19">
        <v>25.8</v>
      </c>
      <c r="AB228" s="19">
        <v>105</v>
      </c>
      <c r="AC228" s="49">
        <v>8</v>
      </c>
      <c r="AD228" s="27">
        <v>7</v>
      </c>
      <c r="AE228" s="27">
        <v>5</v>
      </c>
      <c r="AF228" s="31">
        <v>0.2</v>
      </c>
      <c r="AG228" s="15">
        <v>69.846068175490245</v>
      </c>
      <c r="AH228" s="19"/>
      <c r="AI228" s="19"/>
      <c r="AJ228" s="19"/>
      <c r="AK228" s="19"/>
      <c r="AL228" s="19"/>
      <c r="AM228" s="19"/>
      <c r="AN228" s="19"/>
      <c r="AO228" s="19"/>
      <c r="AP228" s="84">
        <v>0</v>
      </c>
      <c r="AQ228" s="60">
        <v>179388</v>
      </c>
      <c r="AR228" s="60">
        <v>112075</v>
      </c>
      <c r="AS228" s="60">
        <v>69711</v>
      </c>
      <c r="AT228" s="60">
        <v>83970.880000000005</v>
      </c>
      <c r="AU228" s="24">
        <v>125947</v>
      </c>
      <c r="AV228" s="60">
        <v>8365.557930617184</v>
      </c>
      <c r="AW228" s="24">
        <v>123756.12</v>
      </c>
      <c r="AX228" s="24">
        <v>79544.88</v>
      </c>
      <c r="AY228" s="60">
        <v>6659.66</v>
      </c>
      <c r="AZ228" s="60">
        <v>15695.32</v>
      </c>
    </row>
    <row r="229" spans="1:52">
      <c r="A229" s="5" t="s">
        <v>227</v>
      </c>
      <c r="B229" s="7" t="s">
        <v>264</v>
      </c>
      <c r="C229" s="7" t="s">
        <v>261</v>
      </c>
      <c r="D229" s="15">
        <v>17.190177041690465</v>
      </c>
      <c r="E229" s="15">
        <v>46</v>
      </c>
      <c r="F229" s="15">
        <v>4.3</v>
      </c>
      <c r="G229" s="12">
        <v>15369.270299208367</v>
      </c>
      <c r="H229" s="12">
        <v>8460</v>
      </c>
      <c r="I229" s="12">
        <v>6910</v>
      </c>
      <c r="J229" s="15">
        <v>6.5</v>
      </c>
      <c r="K229" s="15">
        <v>7.6</v>
      </c>
      <c r="L229" s="15">
        <v>8.3000000000000007</v>
      </c>
      <c r="M229" s="15">
        <v>7.8</v>
      </c>
      <c r="N229" s="15">
        <v>11.308478105276857</v>
      </c>
      <c r="O229" s="15">
        <v>19.832129611555729</v>
      </c>
      <c r="P229" s="15">
        <v>19.656451298067541</v>
      </c>
      <c r="Q229" s="15">
        <v>4.0999999999999996</v>
      </c>
      <c r="R229" s="15">
        <v>14.9</v>
      </c>
      <c r="S229" s="15">
        <v>27.2</v>
      </c>
      <c r="T229" s="15">
        <v>7.4</v>
      </c>
      <c r="U229" s="12">
        <v>-27</v>
      </c>
      <c r="V229" s="12">
        <v>211</v>
      </c>
      <c r="W229" s="15">
        <v>15.3</v>
      </c>
      <c r="X229" s="15">
        <v>12.3</v>
      </c>
      <c r="Y229" s="24">
        <v>53</v>
      </c>
      <c r="Z229" s="19">
        <v>6.1</v>
      </c>
      <c r="AA229" s="19">
        <v>3.5</v>
      </c>
      <c r="AB229" s="19">
        <v>12</v>
      </c>
      <c r="AC229" s="49">
        <v>8</v>
      </c>
      <c r="AD229" s="27">
        <v>9</v>
      </c>
      <c r="AE229" s="27">
        <v>7</v>
      </c>
      <c r="AF229" s="31">
        <v>0.5</v>
      </c>
      <c r="AG229" s="15">
        <v>71.792328042328052</v>
      </c>
      <c r="AH229" s="19"/>
      <c r="AI229" s="19"/>
      <c r="AJ229" s="19"/>
      <c r="AK229" s="19"/>
      <c r="AL229" s="19"/>
      <c r="AM229" s="19"/>
      <c r="AN229" s="19"/>
      <c r="AO229" s="19"/>
      <c r="AP229" s="84">
        <v>0</v>
      </c>
      <c r="AQ229" s="60">
        <v>108319</v>
      </c>
      <c r="AR229" s="60">
        <v>72490</v>
      </c>
      <c r="AS229" s="60">
        <v>28623</v>
      </c>
      <c r="AT229" s="60">
        <v>29313</v>
      </c>
      <c r="AU229" s="24">
        <v>26382</v>
      </c>
      <c r="AV229" s="60">
        <v>8761.8993861365179</v>
      </c>
      <c r="AW229" s="24">
        <v>81839.839000000007</v>
      </c>
      <c r="AX229" s="24">
        <v>33770.966999999997</v>
      </c>
      <c r="AY229" s="60">
        <v>34364.769</v>
      </c>
      <c r="AZ229" s="60">
        <v>5112.1009999999997</v>
      </c>
    </row>
    <row r="230" spans="1:52">
      <c r="A230" s="5" t="s">
        <v>228</v>
      </c>
      <c r="B230" s="7" t="s">
        <v>264</v>
      </c>
      <c r="C230" s="7" t="s">
        <v>261</v>
      </c>
      <c r="D230" s="15">
        <v>12.931254791719907</v>
      </c>
      <c r="E230" s="15">
        <v>62.8</v>
      </c>
      <c r="F230" s="15" t="s">
        <v>280</v>
      </c>
      <c r="G230" s="12">
        <v>9257.2878860327728</v>
      </c>
      <c r="H230" s="12">
        <v>4611</v>
      </c>
      <c r="I230" s="12">
        <v>4646</v>
      </c>
      <c r="J230" s="15">
        <v>6.5</v>
      </c>
      <c r="K230" s="15">
        <v>10.4</v>
      </c>
      <c r="L230" s="15">
        <v>11.9</v>
      </c>
      <c r="M230" s="15">
        <v>10.4</v>
      </c>
      <c r="N230" s="15">
        <v>10.078859241654964</v>
      </c>
      <c r="O230" s="15">
        <v>16.495624932483526</v>
      </c>
      <c r="P230" s="15">
        <v>19.812034136329267</v>
      </c>
      <c r="Q230" s="15">
        <v>3.3</v>
      </c>
      <c r="R230" s="15">
        <v>11</v>
      </c>
      <c r="S230" s="15">
        <v>35.200000000000003</v>
      </c>
      <c r="T230" s="15">
        <v>5.3</v>
      </c>
      <c r="U230" s="12">
        <v>30</v>
      </c>
      <c r="V230" s="12">
        <v>203</v>
      </c>
      <c r="W230" s="15">
        <v>12.3</v>
      </c>
      <c r="X230" s="15">
        <v>8.3000000000000007</v>
      </c>
      <c r="Y230" s="24">
        <v>46</v>
      </c>
      <c r="Z230" s="19">
        <v>4.5999999999999996</v>
      </c>
      <c r="AA230" s="19">
        <v>3</v>
      </c>
      <c r="AB230" s="19">
        <v>10</v>
      </c>
      <c r="AC230" s="49">
        <v>8</v>
      </c>
      <c r="AD230" s="27">
        <v>8</v>
      </c>
      <c r="AE230" s="27">
        <v>5</v>
      </c>
      <c r="AF230" s="31">
        <v>0.2</v>
      </c>
      <c r="AG230" s="15">
        <v>73.57064104583398</v>
      </c>
      <c r="AH230" s="19"/>
      <c r="AI230" s="19"/>
      <c r="AJ230" s="19"/>
      <c r="AK230" s="19"/>
      <c r="AL230" s="19"/>
      <c r="AM230" s="19"/>
      <c r="AN230" s="19"/>
      <c r="AO230" s="19"/>
      <c r="AP230" s="84">
        <v>0</v>
      </c>
      <c r="AQ230" s="60">
        <v>86391</v>
      </c>
      <c r="AR230" s="60">
        <v>45461</v>
      </c>
      <c r="AS230" s="60">
        <v>13779</v>
      </c>
      <c r="AT230" s="60">
        <v>15174</v>
      </c>
      <c r="AU230" s="24">
        <v>49979</v>
      </c>
      <c r="AV230" s="60">
        <v>14665.634435420145</v>
      </c>
      <c r="AW230" s="24">
        <v>48053.2</v>
      </c>
      <c r="AX230" s="24">
        <v>14094</v>
      </c>
      <c r="AY230" s="60">
        <v>13629</v>
      </c>
      <c r="AZ230" s="60">
        <v>5537</v>
      </c>
    </row>
    <row r="231" spans="1:52">
      <c r="A231" s="5" t="s">
        <v>229</v>
      </c>
      <c r="B231" s="7" t="s">
        <v>264</v>
      </c>
      <c r="C231" s="7" t="s">
        <v>261</v>
      </c>
      <c r="D231" s="15">
        <v>14.98650732459522</v>
      </c>
      <c r="E231" s="15">
        <v>48.3</v>
      </c>
      <c r="F231" s="15" t="s">
        <v>280</v>
      </c>
      <c r="G231" s="12">
        <v>23691.897727090505</v>
      </c>
      <c r="H231" s="12">
        <v>11900</v>
      </c>
      <c r="I231" s="12">
        <v>11791</v>
      </c>
      <c r="J231" s="15">
        <v>6.1</v>
      </c>
      <c r="K231" s="15">
        <v>7.7</v>
      </c>
      <c r="L231" s="15">
        <v>9.1</v>
      </c>
      <c r="M231" s="15">
        <v>9.4</v>
      </c>
      <c r="N231" s="15">
        <v>12.156002026000337</v>
      </c>
      <c r="O231" s="15">
        <v>14.646294107715685</v>
      </c>
      <c r="P231" s="15">
        <v>21.281445213574202</v>
      </c>
      <c r="Q231" s="15">
        <v>4.9000000000000004</v>
      </c>
      <c r="R231" s="15">
        <v>14.7</v>
      </c>
      <c r="S231" s="15">
        <v>28.8</v>
      </c>
      <c r="T231" s="15">
        <v>7.6</v>
      </c>
      <c r="U231" s="12">
        <v>-111</v>
      </c>
      <c r="V231" s="12">
        <v>462</v>
      </c>
      <c r="W231" s="15">
        <v>12.8</v>
      </c>
      <c r="X231" s="15">
        <v>10.9</v>
      </c>
      <c r="Y231" s="24">
        <v>46</v>
      </c>
      <c r="Z231" s="19">
        <v>35.1</v>
      </c>
      <c r="AA231" s="19">
        <v>7.8</v>
      </c>
      <c r="AB231" s="19">
        <v>30</v>
      </c>
      <c r="AC231" s="49">
        <v>8</v>
      </c>
      <c r="AD231" s="27">
        <v>8</v>
      </c>
      <c r="AE231" s="27">
        <v>6</v>
      </c>
      <c r="AF231" s="31">
        <v>0.6</v>
      </c>
      <c r="AG231" s="15">
        <v>72.493027767673084</v>
      </c>
      <c r="AH231" s="19"/>
      <c r="AI231" s="19"/>
      <c r="AJ231" s="19"/>
      <c r="AK231" s="19"/>
      <c r="AL231" s="19"/>
      <c r="AM231" s="19"/>
      <c r="AN231" s="19"/>
      <c r="AO231" s="19"/>
      <c r="AP231" s="84">
        <v>0</v>
      </c>
      <c r="AQ231" s="60">
        <v>145180.231</v>
      </c>
      <c r="AR231" s="60">
        <v>85373.23</v>
      </c>
      <c r="AS231" s="60">
        <v>44730.26</v>
      </c>
      <c r="AT231" s="60">
        <v>55113.07</v>
      </c>
      <c r="AU231" s="24">
        <v>100854.586</v>
      </c>
      <c r="AV231" s="60">
        <v>10460.147298231384</v>
      </c>
      <c r="AW231" s="24">
        <v>93894.2</v>
      </c>
      <c r="AX231" s="24">
        <v>50118.46</v>
      </c>
      <c r="AY231" s="60">
        <v>22025.03</v>
      </c>
      <c r="AZ231" s="60">
        <v>5306.81</v>
      </c>
    </row>
    <row r="232" spans="1:52">
      <c r="A232" s="5" t="s">
        <v>230</v>
      </c>
      <c r="B232" s="7" t="s">
        <v>264</v>
      </c>
      <c r="C232" s="7" t="s">
        <v>261</v>
      </c>
      <c r="D232" s="15">
        <v>13.419761737911703</v>
      </c>
      <c r="E232" s="15">
        <v>49.3</v>
      </c>
      <c r="F232" s="15" t="s">
        <v>280</v>
      </c>
      <c r="G232" s="12">
        <v>14075.554205341283</v>
      </c>
      <c r="H232" s="12">
        <v>7257</v>
      </c>
      <c r="I232" s="12">
        <v>6818</v>
      </c>
      <c r="J232" s="15">
        <v>10.8</v>
      </c>
      <c r="K232" s="15">
        <v>12.6</v>
      </c>
      <c r="L232" s="15">
        <v>11.7</v>
      </c>
      <c r="M232" s="15">
        <v>7.6</v>
      </c>
      <c r="N232" s="15">
        <v>11.402387041773231</v>
      </c>
      <c r="O232" s="15">
        <v>20.190394998579141</v>
      </c>
      <c r="P232" s="15">
        <v>13.87468030690537</v>
      </c>
      <c r="Q232" s="15">
        <v>3.4</v>
      </c>
      <c r="R232" s="15">
        <v>8.4</v>
      </c>
      <c r="S232" s="15">
        <v>39.700000000000003</v>
      </c>
      <c r="T232" s="15">
        <v>3.5</v>
      </c>
      <c r="U232" s="12">
        <v>193</v>
      </c>
      <c r="V232" s="12">
        <v>326</v>
      </c>
      <c r="W232" s="15">
        <v>23.1</v>
      </c>
      <c r="X232" s="15">
        <v>17.399999999999999</v>
      </c>
      <c r="Y232" s="24">
        <v>74</v>
      </c>
      <c r="Z232" s="19">
        <v>20.3</v>
      </c>
      <c r="AA232" s="19">
        <v>14.6</v>
      </c>
      <c r="AB232" s="19">
        <v>59</v>
      </c>
      <c r="AC232" s="49">
        <v>7</v>
      </c>
      <c r="AD232" s="27">
        <v>7</v>
      </c>
      <c r="AE232" s="27">
        <v>4</v>
      </c>
      <c r="AF232" s="31">
        <v>0</v>
      </c>
      <c r="AG232" s="15">
        <v>77.664857373830699</v>
      </c>
      <c r="AH232" s="19"/>
      <c r="AI232" s="19"/>
      <c r="AJ232" s="19"/>
      <c r="AK232" s="19"/>
      <c r="AL232" s="19"/>
      <c r="AM232" s="19"/>
      <c r="AN232" s="19"/>
      <c r="AO232" s="19"/>
      <c r="AP232" s="84">
        <v>0</v>
      </c>
      <c r="AQ232" s="60">
        <v>53249</v>
      </c>
      <c r="AR232" s="60">
        <v>24319</v>
      </c>
      <c r="AS232" s="60">
        <v>14291</v>
      </c>
      <c r="AT232" s="60">
        <v>18569</v>
      </c>
      <c r="AU232" s="24">
        <v>64144</v>
      </c>
      <c r="AV232" s="60">
        <v>8353.9161786879667</v>
      </c>
      <c r="AW232" s="24">
        <v>31830.03</v>
      </c>
      <c r="AX232" s="24">
        <v>17278</v>
      </c>
      <c r="AY232" s="60">
        <v>1663.39</v>
      </c>
      <c r="AZ232" s="60">
        <v>179.95</v>
      </c>
    </row>
    <row r="233" spans="1:52">
      <c r="A233" s="5" t="s">
        <v>231</v>
      </c>
      <c r="B233" s="7" t="s">
        <v>264</v>
      </c>
      <c r="C233" s="7" t="s">
        <v>261</v>
      </c>
      <c r="D233" s="15">
        <v>14.289494575284467</v>
      </c>
      <c r="E233" s="15">
        <v>39.1</v>
      </c>
      <c r="F233" s="15" t="s">
        <v>280</v>
      </c>
      <c r="G233" s="12">
        <v>7727.9615433849067</v>
      </c>
      <c r="H233" s="12">
        <v>3881</v>
      </c>
      <c r="I233" s="12">
        <v>3847</v>
      </c>
      <c r="J233" s="15">
        <v>7.9</v>
      </c>
      <c r="K233" s="15">
        <v>7.6</v>
      </c>
      <c r="L233" s="15">
        <v>8.4</v>
      </c>
      <c r="M233" s="15">
        <v>7.1</v>
      </c>
      <c r="N233" s="15">
        <v>13.341097308488614</v>
      </c>
      <c r="O233" s="15">
        <v>19.280538302277435</v>
      </c>
      <c r="P233" s="15">
        <v>16.821946169772257</v>
      </c>
      <c r="Q233" s="15">
        <v>5.8</v>
      </c>
      <c r="R233" s="15">
        <v>13.7</v>
      </c>
      <c r="S233" s="15">
        <v>28.3</v>
      </c>
      <c r="T233" s="15">
        <v>4.3</v>
      </c>
      <c r="U233" s="12">
        <v>91</v>
      </c>
      <c r="V233" s="12">
        <v>187</v>
      </c>
      <c r="W233" s="15">
        <v>12.5</v>
      </c>
      <c r="X233" s="15">
        <v>8.6</v>
      </c>
      <c r="Y233" s="24">
        <v>31</v>
      </c>
      <c r="Z233" s="19">
        <v>24.7</v>
      </c>
      <c r="AA233" s="19">
        <v>10.199999999999999</v>
      </c>
      <c r="AB233" s="19">
        <v>47</v>
      </c>
      <c r="AC233" s="49">
        <v>7</v>
      </c>
      <c r="AD233" s="27">
        <v>7</v>
      </c>
      <c r="AE233" s="27">
        <v>1</v>
      </c>
      <c r="AF233" s="31">
        <v>0.1</v>
      </c>
      <c r="AG233" s="15">
        <v>69.831546707503833</v>
      </c>
      <c r="AH233" s="19"/>
      <c r="AI233" s="19"/>
      <c r="AJ233" s="19"/>
      <c r="AK233" s="19"/>
      <c r="AL233" s="19"/>
      <c r="AM233" s="19"/>
      <c r="AN233" s="19"/>
      <c r="AO233" s="19"/>
      <c r="AP233" s="84">
        <v>0</v>
      </c>
      <c r="AQ233" s="60">
        <v>46549</v>
      </c>
      <c r="AR233" s="60">
        <v>22701</v>
      </c>
      <c r="AS233" s="60">
        <v>12090</v>
      </c>
      <c r="AT233" s="60">
        <v>16241</v>
      </c>
      <c r="AU233" s="24">
        <v>43359</v>
      </c>
      <c r="AV233" s="60">
        <v>11603.448011042174</v>
      </c>
      <c r="AW233" s="24">
        <v>21582</v>
      </c>
      <c r="AX233" s="24">
        <v>14042</v>
      </c>
      <c r="AY233" s="60">
        <v>2014</v>
      </c>
      <c r="AZ233" s="60">
        <v>1184</v>
      </c>
    </row>
    <row r="234" spans="1:52">
      <c r="A234" s="5" t="s">
        <v>232</v>
      </c>
      <c r="B234" s="7" t="s">
        <v>264</v>
      </c>
      <c r="C234" s="7" t="s">
        <v>261</v>
      </c>
      <c r="D234" s="15">
        <v>12.925170068027212</v>
      </c>
      <c r="E234" s="15">
        <v>55.1</v>
      </c>
      <c r="F234" s="15" t="s">
        <v>280</v>
      </c>
      <c r="G234" s="12">
        <v>12343.577524622831</v>
      </c>
      <c r="H234" s="12">
        <v>6180</v>
      </c>
      <c r="I234" s="12">
        <v>6164</v>
      </c>
      <c r="J234" s="15">
        <v>7.3</v>
      </c>
      <c r="K234" s="15">
        <v>8.9</v>
      </c>
      <c r="L234" s="15">
        <v>9.6999999999999993</v>
      </c>
      <c r="M234" s="15">
        <v>8.1</v>
      </c>
      <c r="N234" s="15">
        <v>10.904082955281918</v>
      </c>
      <c r="O234" s="15">
        <v>17.474076474400519</v>
      </c>
      <c r="P234" s="15">
        <v>17.74951393389501</v>
      </c>
      <c r="Q234" s="15">
        <v>3.7</v>
      </c>
      <c r="R234" s="15">
        <v>16.2</v>
      </c>
      <c r="S234" s="15">
        <v>30.9</v>
      </c>
      <c r="T234" s="15">
        <v>7.9</v>
      </c>
      <c r="U234" s="12">
        <v>56</v>
      </c>
      <c r="V234" s="12">
        <v>214</v>
      </c>
      <c r="W234" s="15">
        <v>15.9</v>
      </c>
      <c r="X234" s="15">
        <v>10.5</v>
      </c>
      <c r="Y234" s="24">
        <v>37</v>
      </c>
      <c r="Z234" s="19">
        <v>23</v>
      </c>
      <c r="AA234" s="19">
        <v>10.199999999999999</v>
      </c>
      <c r="AB234" s="19">
        <v>38</v>
      </c>
      <c r="AC234" s="49">
        <v>7</v>
      </c>
      <c r="AD234" s="27">
        <v>7</v>
      </c>
      <c r="AE234" s="27">
        <v>4</v>
      </c>
      <c r="AF234" s="31">
        <v>0.3</v>
      </c>
      <c r="AG234" s="15">
        <v>71.538461538461533</v>
      </c>
      <c r="AH234" s="19"/>
      <c r="AI234" s="19"/>
      <c r="AJ234" s="19"/>
      <c r="AK234" s="19"/>
      <c r="AL234" s="19"/>
      <c r="AM234" s="19"/>
      <c r="AN234" s="19"/>
      <c r="AO234" s="19"/>
      <c r="AP234" s="84">
        <v>0</v>
      </c>
      <c r="AQ234" s="60">
        <v>84591</v>
      </c>
      <c r="AR234" s="60">
        <v>41612</v>
      </c>
      <c r="AS234" s="60">
        <v>19263</v>
      </c>
      <c r="AT234" s="60">
        <v>23402.53</v>
      </c>
      <c r="AU234" s="24">
        <v>53254</v>
      </c>
      <c r="AV234" s="60">
        <v>11176.905538511257</v>
      </c>
      <c r="AW234" s="24">
        <v>58547.581700000002</v>
      </c>
      <c r="AX234" s="24">
        <v>23047.53</v>
      </c>
      <c r="AY234" s="60">
        <v>10398.74</v>
      </c>
      <c r="AZ234" s="60">
        <v>7543.567</v>
      </c>
    </row>
    <row r="235" spans="1:52">
      <c r="A235" s="5" t="s">
        <v>233</v>
      </c>
      <c r="B235" s="7" t="s">
        <v>264</v>
      </c>
      <c r="C235" s="7" t="s">
        <v>261</v>
      </c>
      <c r="D235" s="15">
        <v>20.889348500517062</v>
      </c>
      <c r="E235" s="15">
        <v>46.4</v>
      </c>
      <c r="F235" s="15" t="s">
        <v>280</v>
      </c>
      <c r="G235" s="12">
        <v>2102.8450190170511</v>
      </c>
      <c r="H235" s="12">
        <v>1105</v>
      </c>
      <c r="I235" s="12">
        <v>998</v>
      </c>
      <c r="J235" s="15">
        <v>12.3</v>
      </c>
      <c r="K235" s="15">
        <v>13.3</v>
      </c>
      <c r="L235" s="15">
        <v>10.9</v>
      </c>
      <c r="M235" s="15">
        <v>8.4</v>
      </c>
      <c r="N235" s="15">
        <v>9.7004279600570626</v>
      </c>
      <c r="O235" s="15">
        <v>24.679029957203994</v>
      </c>
      <c r="P235" s="15">
        <v>12.933903946742747</v>
      </c>
      <c r="Q235" s="15">
        <v>3.5</v>
      </c>
      <c r="R235" s="15">
        <v>4.4000000000000004</v>
      </c>
      <c r="S235" s="15">
        <v>40.6</v>
      </c>
      <c r="T235" s="15">
        <v>0.6</v>
      </c>
      <c r="U235" s="12">
        <v>33</v>
      </c>
      <c r="V235" s="12">
        <v>73</v>
      </c>
      <c r="W235" s="15">
        <v>5.2</v>
      </c>
      <c r="X235" s="15">
        <v>4.5</v>
      </c>
      <c r="Y235" s="24">
        <v>27</v>
      </c>
      <c r="Z235" s="19">
        <v>4.7</v>
      </c>
      <c r="AA235" s="19">
        <v>4.4000000000000004</v>
      </c>
      <c r="AB235" s="19">
        <v>20</v>
      </c>
      <c r="AC235" s="49">
        <v>7</v>
      </c>
      <c r="AD235" s="27">
        <v>7</v>
      </c>
      <c r="AE235" s="27">
        <v>3</v>
      </c>
      <c r="AF235" s="31" t="s">
        <v>282</v>
      </c>
      <c r="AG235" s="15">
        <v>72.260536398467437</v>
      </c>
      <c r="AH235" s="19"/>
      <c r="AI235" s="19"/>
      <c r="AJ235" s="19"/>
      <c r="AK235" s="19"/>
      <c r="AL235" s="19"/>
      <c r="AM235" s="19"/>
      <c r="AN235" s="19"/>
      <c r="AO235" s="19"/>
      <c r="AP235" s="84">
        <v>0</v>
      </c>
      <c r="AQ235" s="60">
        <v>12738</v>
      </c>
      <c r="AR235" s="60">
        <v>9939</v>
      </c>
      <c r="AS235" s="60">
        <v>3155</v>
      </c>
      <c r="AT235" s="60">
        <v>3960.8</v>
      </c>
      <c r="AU235" s="24">
        <v>20046</v>
      </c>
      <c r="AV235" s="60">
        <v>15545.130384967728</v>
      </c>
      <c r="AW235" s="24">
        <v>12001.88</v>
      </c>
      <c r="AX235" s="24">
        <v>3445.6</v>
      </c>
      <c r="AY235" s="60">
        <v>1503.88</v>
      </c>
      <c r="AZ235" s="60">
        <v>721.99</v>
      </c>
    </row>
    <row r="236" spans="1:52">
      <c r="A236" s="5" t="s">
        <v>234</v>
      </c>
      <c r="B236" s="7" t="s">
        <v>264</v>
      </c>
      <c r="C236" s="7" t="s">
        <v>261</v>
      </c>
      <c r="D236" s="15">
        <v>13.738819320214668</v>
      </c>
      <c r="E236" s="15">
        <v>46.5</v>
      </c>
      <c r="F236" s="15">
        <v>15.4</v>
      </c>
      <c r="G236" s="12">
        <v>31585.687786787737</v>
      </c>
      <c r="H236" s="12">
        <v>15737</v>
      </c>
      <c r="I236" s="12">
        <v>15849</v>
      </c>
      <c r="J236" s="15">
        <v>7.7</v>
      </c>
      <c r="K236" s="15">
        <v>9.5</v>
      </c>
      <c r="L236" s="15">
        <v>9.8000000000000007</v>
      </c>
      <c r="M236" s="15">
        <v>8.5</v>
      </c>
      <c r="N236" s="15">
        <v>11.216994871145443</v>
      </c>
      <c r="O236" s="15">
        <v>18.539859431393655</v>
      </c>
      <c r="P236" s="15">
        <v>17.871841955296649</v>
      </c>
      <c r="Q236" s="15">
        <v>3.8</v>
      </c>
      <c r="R236" s="15">
        <v>13.1</v>
      </c>
      <c r="S236" s="15">
        <v>32.1</v>
      </c>
      <c r="T236" s="15">
        <v>5.6</v>
      </c>
      <c r="U236" s="12">
        <v>448</v>
      </c>
      <c r="V236" s="12">
        <v>713</v>
      </c>
      <c r="W236" s="15">
        <v>114.4</v>
      </c>
      <c r="X236" s="15">
        <v>24.8</v>
      </c>
      <c r="Y236" s="24">
        <v>105</v>
      </c>
      <c r="Z236" s="19">
        <v>62</v>
      </c>
      <c r="AA236" s="19">
        <v>34.9</v>
      </c>
      <c r="AB236" s="19">
        <v>161</v>
      </c>
      <c r="AC236" s="49">
        <v>7</v>
      </c>
      <c r="AD236" s="27">
        <v>7</v>
      </c>
      <c r="AE236" s="27">
        <v>3</v>
      </c>
      <c r="AF236" s="31">
        <v>1.1000000000000001</v>
      </c>
      <c r="AG236" s="15">
        <v>67.896630967350305</v>
      </c>
      <c r="AH236" s="19"/>
      <c r="AI236" s="19"/>
      <c r="AJ236" s="19"/>
      <c r="AK236" s="19"/>
      <c r="AL236" s="19"/>
      <c r="AM236" s="19"/>
      <c r="AN236" s="19"/>
      <c r="AO236" s="19"/>
      <c r="AP236" s="84">
        <v>0</v>
      </c>
      <c r="AQ236" s="60">
        <v>206290</v>
      </c>
      <c r="AR236" s="60">
        <v>120103</v>
      </c>
      <c r="AS236" s="60">
        <v>50546</v>
      </c>
      <c r="AT236" s="60">
        <v>69589</v>
      </c>
      <c r="AU236" s="24">
        <v>169147</v>
      </c>
      <c r="AV236" s="60">
        <v>11883.198571886218</v>
      </c>
      <c r="AW236" s="24">
        <v>117668</v>
      </c>
      <c r="AX236" s="24">
        <v>52109</v>
      </c>
      <c r="AY236" s="60">
        <v>21198</v>
      </c>
      <c r="AZ236" s="60">
        <v>24604</v>
      </c>
    </row>
    <row r="237" spans="1:52">
      <c r="A237" s="5" t="s">
        <v>235</v>
      </c>
      <c r="B237" s="7" t="s">
        <v>264</v>
      </c>
      <c r="C237" s="7" t="s">
        <v>261</v>
      </c>
      <c r="D237" s="15">
        <v>15.375625433694898</v>
      </c>
      <c r="E237" s="15">
        <v>47.2</v>
      </c>
      <c r="F237" s="15" t="s">
        <v>280</v>
      </c>
      <c r="G237" s="12">
        <v>75447.383094846577</v>
      </c>
      <c r="H237" s="12">
        <v>37927</v>
      </c>
      <c r="I237" s="12">
        <v>37520</v>
      </c>
      <c r="J237" s="15">
        <v>13.1</v>
      </c>
      <c r="K237" s="15">
        <v>13.5</v>
      </c>
      <c r="L237" s="15">
        <v>13.2</v>
      </c>
      <c r="M237" s="15">
        <v>10.6</v>
      </c>
      <c r="N237" s="15">
        <v>14.952218113377603</v>
      </c>
      <c r="O237" s="15">
        <v>16.345248982729601</v>
      </c>
      <c r="P237" s="15">
        <v>11.59621986295015</v>
      </c>
      <c r="Q237" s="15">
        <v>2.4</v>
      </c>
      <c r="R237" s="15">
        <v>4.3</v>
      </c>
      <c r="S237" s="15">
        <v>46.3</v>
      </c>
      <c r="T237" s="15">
        <v>1.2</v>
      </c>
      <c r="U237" s="12">
        <v>708</v>
      </c>
      <c r="V237" s="12">
        <v>1352</v>
      </c>
      <c r="W237" s="15">
        <v>65.599999999999994</v>
      </c>
      <c r="X237" s="15">
        <v>58.1</v>
      </c>
      <c r="Y237" s="24">
        <v>252</v>
      </c>
      <c r="Z237" s="19">
        <v>95.6</v>
      </c>
      <c r="AA237" s="19">
        <v>74.900000000000006</v>
      </c>
      <c r="AB237" s="19">
        <v>395</v>
      </c>
      <c r="AC237" s="49">
        <v>5</v>
      </c>
      <c r="AD237" s="27">
        <v>5</v>
      </c>
      <c r="AE237" s="27">
        <v>5</v>
      </c>
      <c r="AF237" s="31" t="s">
        <v>282</v>
      </c>
      <c r="AG237" s="15">
        <v>76.135990621336461</v>
      </c>
      <c r="AH237" s="19"/>
      <c r="AI237" s="19"/>
      <c r="AJ237" s="19"/>
      <c r="AK237" s="19"/>
      <c r="AL237" s="19"/>
      <c r="AM237" s="19"/>
      <c r="AN237" s="19"/>
      <c r="AO237" s="19"/>
      <c r="AP237" s="84">
        <v>0</v>
      </c>
      <c r="AQ237" s="60">
        <v>261013</v>
      </c>
      <c r="AR237" s="60">
        <v>109765</v>
      </c>
      <c r="AS237" s="60">
        <v>91335</v>
      </c>
      <c r="AT237" s="60">
        <v>99566.67</v>
      </c>
      <c r="AU237" s="24">
        <v>497128</v>
      </c>
      <c r="AV237" s="60">
        <v>10078.202434723507</v>
      </c>
      <c r="AW237" s="24">
        <v>114695.64</v>
      </c>
      <c r="AX237" s="24">
        <v>96295.07</v>
      </c>
      <c r="AY237" s="60">
        <v>8436.73</v>
      </c>
      <c r="AZ237" s="60">
        <v>4031.22</v>
      </c>
    </row>
    <row r="238" spans="1:52">
      <c r="A238" s="5" t="s">
        <v>236</v>
      </c>
      <c r="B238" s="7" t="s">
        <v>264</v>
      </c>
      <c r="C238" s="7" t="s">
        <v>261</v>
      </c>
      <c r="D238" s="15">
        <v>13.957067319075053</v>
      </c>
      <c r="E238" s="15">
        <v>45.8</v>
      </c>
      <c r="F238" s="15">
        <v>8.6999999999999993</v>
      </c>
      <c r="G238" s="12">
        <v>62880.791990414487</v>
      </c>
      <c r="H238" s="12">
        <v>31577</v>
      </c>
      <c r="I238" s="12">
        <v>31303</v>
      </c>
      <c r="J238" s="15">
        <v>8.8000000000000007</v>
      </c>
      <c r="K238" s="15">
        <v>10.1</v>
      </c>
      <c r="L238" s="15">
        <v>10.1</v>
      </c>
      <c r="M238" s="15">
        <v>8.5</v>
      </c>
      <c r="N238" s="15">
        <v>12.404382881951623</v>
      </c>
      <c r="O238" s="15">
        <v>18.897600229003992</v>
      </c>
      <c r="P238" s="15">
        <v>16.67753375423419</v>
      </c>
      <c r="Q238" s="15">
        <v>4</v>
      </c>
      <c r="R238" s="15">
        <v>10.5</v>
      </c>
      <c r="S238" s="15">
        <v>34.299999999999997</v>
      </c>
      <c r="T238" s="15">
        <v>4.4000000000000004</v>
      </c>
      <c r="U238" s="12">
        <v>-155</v>
      </c>
      <c r="V238" s="12">
        <v>836</v>
      </c>
      <c r="W238" s="15">
        <v>50.5</v>
      </c>
      <c r="X238" s="15">
        <v>28.3</v>
      </c>
      <c r="Y238" s="24">
        <v>118</v>
      </c>
      <c r="Z238" s="19">
        <v>94.7</v>
      </c>
      <c r="AA238" s="19">
        <v>36.1</v>
      </c>
      <c r="AB238" s="19">
        <v>154</v>
      </c>
      <c r="AC238" s="49">
        <v>7</v>
      </c>
      <c r="AD238" s="27">
        <v>7</v>
      </c>
      <c r="AE238" s="27">
        <v>6</v>
      </c>
      <c r="AF238" s="31">
        <v>0.2</v>
      </c>
      <c r="AG238" s="15">
        <v>72.119072413705524</v>
      </c>
      <c r="AH238" s="19"/>
      <c r="AI238" s="19"/>
      <c r="AJ238" s="19"/>
      <c r="AK238" s="19"/>
      <c r="AL238" s="19"/>
      <c r="AM238" s="19"/>
      <c r="AN238" s="19"/>
      <c r="AO238" s="19"/>
      <c r="AP238" s="84">
        <v>0</v>
      </c>
      <c r="AQ238" s="60">
        <v>280044</v>
      </c>
      <c r="AR238" s="60">
        <v>195480</v>
      </c>
      <c r="AS238" s="60">
        <v>88105</v>
      </c>
      <c r="AT238" s="60">
        <v>126634.45</v>
      </c>
      <c r="AU238" s="24">
        <v>227863</v>
      </c>
      <c r="AV238" s="60">
        <v>8094.4591168252082</v>
      </c>
      <c r="AW238" s="24">
        <v>204042.56</v>
      </c>
      <c r="AX238" s="24">
        <v>90131.45</v>
      </c>
      <c r="AY238" s="60">
        <v>32681.13</v>
      </c>
      <c r="AZ238" s="60">
        <v>17484</v>
      </c>
    </row>
    <row r="239" spans="1:52">
      <c r="A239" s="5" t="s">
        <v>237</v>
      </c>
      <c r="B239" s="7" t="s">
        <v>264</v>
      </c>
      <c r="C239" s="7" t="s">
        <v>261</v>
      </c>
      <c r="D239" s="15">
        <v>15.006372132540358</v>
      </c>
      <c r="E239" s="15">
        <v>50.6</v>
      </c>
      <c r="F239" s="15">
        <v>16.7</v>
      </c>
      <c r="G239" s="12">
        <v>22147.334108159994</v>
      </c>
      <c r="H239" s="12">
        <v>10808</v>
      </c>
      <c r="I239" s="12">
        <v>11339</v>
      </c>
      <c r="J239" s="15">
        <v>7.3</v>
      </c>
      <c r="K239" s="15">
        <v>9.6999999999999993</v>
      </c>
      <c r="L239" s="15">
        <v>10.5</v>
      </c>
      <c r="M239" s="15">
        <v>11.2</v>
      </c>
      <c r="N239" s="15">
        <v>10.936018422359687</v>
      </c>
      <c r="O239" s="15">
        <v>18.115320359416625</v>
      </c>
      <c r="P239" s="15">
        <v>18.228202465345195</v>
      </c>
      <c r="Q239" s="15">
        <v>3.8</v>
      </c>
      <c r="R239" s="15">
        <v>10.199999999999999</v>
      </c>
      <c r="S239" s="15">
        <v>34.299999999999997</v>
      </c>
      <c r="T239" s="15">
        <v>3.9</v>
      </c>
      <c r="U239" s="12">
        <v>165</v>
      </c>
      <c r="V239" s="12">
        <v>587</v>
      </c>
      <c r="W239" s="15">
        <v>45.6</v>
      </c>
      <c r="X239" s="15">
        <v>34.5</v>
      </c>
      <c r="Y239" s="24">
        <v>160</v>
      </c>
      <c r="Z239" s="19">
        <v>75</v>
      </c>
      <c r="AA239" s="19">
        <v>13.7</v>
      </c>
      <c r="AB239" s="19">
        <v>60</v>
      </c>
      <c r="AC239" s="49">
        <v>7</v>
      </c>
      <c r="AD239" s="27">
        <v>7</v>
      </c>
      <c r="AE239" s="27">
        <v>5</v>
      </c>
      <c r="AF239" s="31">
        <v>0.7</v>
      </c>
      <c r="AG239" s="15">
        <v>68.58690625619343</v>
      </c>
      <c r="AH239" s="19"/>
      <c r="AI239" s="19"/>
      <c r="AJ239" s="19"/>
      <c r="AK239" s="19"/>
      <c r="AL239" s="19"/>
      <c r="AM239" s="19"/>
      <c r="AN239" s="19"/>
      <c r="AO239" s="19"/>
      <c r="AP239" s="84">
        <v>0</v>
      </c>
      <c r="AQ239" s="60">
        <v>118086</v>
      </c>
      <c r="AR239" s="60">
        <v>68590</v>
      </c>
      <c r="AS239" s="60">
        <v>26432</v>
      </c>
      <c r="AT239" s="60">
        <v>45134</v>
      </c>
      <c r="AU239" s="24">
        <v>91953</v>
      </c>
      <c r="AV239" s="60">
        <v>9526.5641891528285</v>
      </c>
      <c r="AW239" s="24">
        <v>86303</v>
      </c>
      <c r="AX239" s="24">
        <v>31874</v>
      </c>
      <c r="AY239" s="60">
        <v>12029</v>
      </c>
      <c r="AZ239" s="60">
        <v>3485</v>
      </c>
    </row>
    <row r="240" spans="1:52">
      <c r="A240" s="5" t="s">
        <v>238</v>
      </c>
      <c r="B240" s="7" t="s">
        <v>264</v>
      </c>
      <c r="C240" s="7" t="s">
        <v>261</v>
      </c>
      <c r="D240" s="15">
        <v>15.42656112576957</v>
      </c>
      <c r="E240" s="15">
        <v>30.2</v>
      </c>
      <c r="F240" s="15" t="s">
        <v>280</v>
      </c>
      <c r="G240" s="12">
        <v>11447.288178296545</v>
      </c>
      <c r="H240" s="12">
        <v>5823</v>
      </c>
      <c r="I240" s="12">
        <v>5624</v>
      </c>
      <c r="J240" s="15">
        <v>8.4</v>
      </c>
      <c r="K240" s="15">
        <v>9.1999999999999993</v>
      </c>
      <c r="L240" s="15">
        <v>8.5</v>
      </c>
      <c r="M240" s="15">
        <v>7.8</v>
      </c>
      <c r="N240" s="15">
        <v>12.658338429282781</v>
      </c>
      <c r="O240" s="15">
        <v>18.76474185376081</v>
      </c>
      <c r="P240" s="15">
        <v>17.602865379575437</v>
      </c>
      <c r="Q240" s="15">
        <v>5.5</v>
      </c>
      <c r="R240" s="15">
        <v>11.5</v>
      </c>
      <c r="S240" s="15">
        <v>30.8</v>
      </c>
      <c r="T240" s="15">
        <v>3.9</v>
      </c>
      <c r="U240" s="12">
        <v>-281</v>
      </c>
      <c r="V240" s="12">
        <v>262</v>
      </c>
      <c r="W240" s="15">
        <v>43.9</v>
      </c>
      <c r="X240" s="15">
        <v>32</v>
      </c>
      <c r="Y240" s="24">
        <v>125</v>
      </c>
      <c r="Z240" s="19">
        <v>28.2</v>
      </c>
      <c r="AA240" s="19">
        <v>16.399999999999999</v>
      </c>
      <c r="AB240" s="19">
        <v>66</v>
      </c>
      <c r="AC240" s="49">
        <v>7</v>
      </c>
      <c r="AD240" s="27">
        <v>7</v>
      </c>
      <c r="AE240" s="27">
        <v>2</v>
      </c>
      <c r="AF240" s="31">
        <v>0.4</v>
      </c>
      <c r="AG240" s="15">
        <v>70.863137815927516</v>
      </c>
      <c r="AH240" s="19"/>
      <c r="AI240" s="19"/>
      <c r="AJ240" s="19"/>
      <c r="AK240" s="19"/>
      <c r="AL240" s="19"/>
      <c r="AM240" s="19"/>
      <c r="AN240" s="19"/>
      <c r="AO240" s="19"/>
      <c r="AP240" s="84">
        <v>0</v>
      </c>
      <c r="AQ240" s="60">
        <v>50952</v>
      </c>
      <c r="AR240" s="60">
        <v>30796</v>
      </c>
      <c r="AS240" s="60">
        <v>16867</v>
      </c>
      <c r="AT240" s="60">
        <v>21568.801104972401</v>
      </c>
      <c r="AU240" s="24">
        <v>99508</v>
      </c>
      <c r="AV240" s="60">
        <v>13079.604327937914</v>
      </c>
      <c r="AW240" s="24">
        <v>34186</v>
      </c>
      <c r="AX240" s="24">
        <v>18724</v>
      </c>
      <c r="AY240" s="60">
        <v>3412</v>
      </c>
      <c r="AZ240" s="60">
        <v>2417</v>
      </c>
    </row>
    <row r="241" spans="1:52">
      <c r="A241" s="5" t="s">
        <v>239</v>
      </c>
      <c r="B241" s="7" t="s">
        <v>264</v>
      </c>
      <c r="C241" s="7" t="s">
        <v>261</v>
      </c>
      <c r="D241" s="15">
        <v>13.274086613062492</v>
      </c>
      <c r="E241" s="15">
        <v>27.8</v>
      </c>
      <c r="F241" s="15">
        <v>17.399999999999999</v>
      </c>
      <c r="G241" s="12">
        <v>16205.437248755628</v>
      </c>
      <c r="H241" s="12">
        <v>8681</v>
      </c>
      <c r="I241" s="12">
        <v>7524</v>
      </c>
      <c r="J241" s="15">
        <v>8.5</v>
      </c>
      <c r="K241" s="15">
        <v>9.4</v>
      </c>
      <c r="L241" s="15">
        <v>9</v>
      </c>
      <c r="M241" s="15">
        <v>10</v>
      </c>
      <c r="N241" s="15">
        <v>15.414995371798829</v>
      </c>
      <c r="O241" s="15">
        <v>18.611539648256713</v>
      </c>
      <c r="P241" s="15">
        <v>15.458191916075286</v>
      </c>
      <c r="Q241" s="15">
        <v>4.5</v>
      </c>
      <c r="R241" s="15">
        <v>9.1</v>
      </c>
      <c r="S241" s="15">
        <v>33.200000000000003</v>
      </c>
      <c r="T241" s="15">
        <v>2.8</v>
      </c>
      <c r="U241" s="12">
        <v>-70</v>
      </c>
      <c r="V241" s="12">
        <v>347</v>
      </c>
      <c r="W241" s="15">
        <v>42.4</v>
      </c>
      <c r="X241" s="15">
        <v>18.399999999999999</v>
      </c>
      <c r="Y241" s="24">
        <v>79</v>
      </c>
      <c r="Z241" s="19">
        <v>50.7</v>
      </c>
      <c r="AA241" s="19">
        <v>17.399999999999999</v>
      </c>
      <c r="AB241" s="19">
        <v>81</v>
      </c>
      <c r="AC241" s="49">
        <v>5</v>
      </c>
      <c r="AD241" s="27">
        <v>5</v>
      </c>
      <c r="AE241" s="27">
        <v>2</v>
      </c>
      <c r="AF241" s="31">
        <v>0.2</v>
      </c>
      <c r="AG241" s="15">
        <v>68.130020549224739</v>
      </c>
      <c r="AH241" s="19"/>
      <c r="AI241" s="19"/>
      <c r="AJ241" s="19"/>
      <c r="AK241" s="19"/>
      <c r="AL241" s="19"/>
      <c r="AM241" s="19"/>
      <c r="AN241" s="19"/>
      <c r="AO241" s="19"/>
      <c r="AP241" s="84">
        <v>0</v>
      </c>
      <c r="AQ241" s="60">
        <v>70788</v>
      </c>
      <c r="AR241" s="60">
        <v>41383</v>
      </c>
      <c r="AS241" s="60">
        <v>16540</v>
      </c>
      <c r="AT241" s="60">
        <v>20145.628000000001</v>
      </c>
      <c r="AU241" s="24">
        <v>102042</v>
      </c>
      <c r="AV241" s="60">
        <v>10669.135139397511</v>
      </c>
      <c r="AW241" s="24">
        <v>37502.235000000001</v>
      </c>
      <c r="AX241" s="24">
        <v>21113.628000000001</v>
      </c>
      <c r="AY241" s="60">
        <v>2469.3910000000001</v>
      </c>
      <c r="AZ241" s="60">
        <v>6252.8149999999996</v>
      </c>
    </row>
    <row r="242" spans="1:52">
      <c r="A242" s="5" t="s">
        <v>240</v>
      </c>
      <c r="B242" s="7" t="s">
        <v>264</v>
      </c>
      <c r="C242" s="7" t="s">
        <v>261</v>
      </c>
      <c r="D242" s="15">
        <v>14.876831428111414</v>
      </c>
      <c r="E242" s="15">
        <v>36.6</v>
      </c>
      <c r="F242" s="15" t="s">
        <v>280</v>
      </c>
      <c r="G242" s="12">
        <v>14890.984786444185</v>
      </c>
      <c r="H242" s="12">
        <v>7558</v>
      </c>
      <c r="I242" s="12">
        <v>7333</v>
      </c>
      <c r="J242" s="15">
        <v>10.1</v>
      </c>
      <c r="K242" s="15">
        <v>11.2</v>
      </c>
      <c r="L242" s="15">
        <v>11.2</v>
      </c>
      <c r="M242" s="15">
        <v>8.9</v>
      </c>
      <c r="N242" s="15">
        <v>13.135450943522933</v>
      </c>
      <c r="O242" s="15">
        <v>19.004767980659459</v>
      </c>
      <c r="P242" s="15">
        <v>14.639715264253574</v>
      </c>
      <c r="Q242" s="15">
        <v>3.7</v>
      </c>
      <c r="R242" s="15">
        <v>8</v>
      </c>
      <c r="S242" s="15">
        <v>38.299999999999997</v>
      </c>
      <c r="T242" s="15">
        <v>2.8</v>
      </c>
      <c r="U242" s="12">
        <v>-63</v>
      </c>
      <c r="V242" s="12">
        <v>341</v>
      </c>
      <c r="W242" s="15">
        <v>17.899999999999999</v>
      </c>
      <c r="X242" s="15">
        <v>12</v>
      </c>
      <c r="Y242" s="24">
        <v>52</v>
      </c>
      <c r="Z242" s="19">
        <v>32.5</v>
      </c>
      <c r="AA242" s="19">
        <v>12</v>
      </c>
      <c r="AB242" s="19">
        <v>57</v>
      </c>
      <c r="AC242" s="49">
        <v>6</v>
      </c>
      <c r="AD242" s="27">
        <v>6</v>
      </c>
      <c r="AE242" s="27">
        <v>3</v>
      </c>
      <c r="AF242" s="31">
        <v>0</v>
      </c>
      <c r="AG242" s="15">
        <v>77.504603054261892</v>
      </c>
      <c r="AH242" s="19"/>
      <c r="AI242" s="19"/>
      <c r="AJ242" s="19"/>
      <c r="AK242" s="19"/>
      <c r="AL242" s="19"/>
      <c r="AM242" s="19"/>
      <c r="AN242" s="19"/>
      <c r="AO242" s="19"/>
      <c r="AP242" s="84">
        <v>0</v>
      </c>
      <c r="AQ242" s="60">
        <v>62563</v>
      </c>
      <c r="AR242" s="60">
        <v>42015</v>
      </c>
      <c r="AS242" s="60">
        <v>14924</v>
      </c>
      <c r="AT242" s="60">
        <v>21038.511999999999</v>
      </c>
      <c r="AU242" s="24">
        <v>98268</v>
      </c>
      <c r="AV242" s="60">
        <v>10799.017144009809</v>
      </c>
      <c r="AW242" s="24">
        <v>37427.224000000002</v>
      </c>
      <c r="AX242" s="24">
        <v>19275.511999999999</v>
      </c>
      <c r="AY242" s="60">
        <v>3719.1030000000001</v>
      </c>
      <c r="AZ242" s="60">
        <v>626.303</v>
      </c>
    </row>
    <row r="243" spans="1:52">
      <c r="A243" s="5" t="s">
        <v>241</v>
      </c>
      <c r="B243" s="7" t="s">
        <v>264</v>
      </c>
      <c r="C243" s="7" t="s">
        <v>261</v>
      </c>
      <c r="D243" s="15">
        <v>13.055143684247689</v>
      </c>
      <c r="E243" s="15">
        <v>56.4</v>
      </c>
      <c r="F243" s="15">
        <v>26.4</v>
      </c>
      <c r="G243" s="12">
        <v>30671.049138459264</v>
      </c>
      <c r="H243" s="12">
        <v>15496</v>
      </c>
      <c r="I243" s="12">
        <v>15175</v>
      </c>
      <c r="J243" s="15">
        <v>7.3</v>
      </c>
      <c r="K243" s="15">
        <v>9.8000000000000007</v>
      </c>
      <c r="L243" s="15">
        <v>10.5</v>
      </c>
      <c r="M243" s="15">
        <v>9.5</v>
      </c>
      <c r="N243" s="15">
        <v>14.906589286296501</v>
      </c>
      <c r="O243" s="15">
        <v>17.231260800104334</v>
      </c>
      <c r="P243" s="15">
        <v>18.564768021909948</v>
      </c>
      <c r="Q243" s="15">
        <v>4.4000000000000004</v>
      </c>
      <c r="R243" s="15">
        <v>7.8</v>
      </c>
      <c r="S243" s="15">
        <v>33.5</v>
      </c>
      <c r="T243" s="15">
        <v>2</v>
      </c>
      <c r="U243" s="12">
        <v>259</v>
      </c>
      <c r="V243" s="12">
        <v>733</v>
      </c>
      <c r="W243" s="15">
        <v>62.2</v>
      </c>
      <c r="X243" s="15">
        <v>47.1</v>
      </c>
      <c r="Y243" s="24">
        <v>214</v>
      </c>
      <c r="Z243" s="19">
        <v>65.099999999999994</v>
      </c>
      <c r="AA243" s="19">
        <v>51.7</v>
      </c>
      <c r="AB243" s="19">
        <v>218</v>
      </c>
      <c r="AC243" s="49">
        <v>7</v>
      </c>
      <c r="AD243" s="27">
        <v>7</v>
      </c>
      <c r="AE243" s="27">
        <v>3</v>
      </c>
      <c r="AF243" s="31">
        <v>0.3</v>
      </c>
      <c r="AG243" s="15">
        <v>67.437933552391385</v>
      </c>
      <c r="AH243" s="19"/>
      <c r="AI243" s="19"/>
      <c r="AJ243" s="19"/>
      <c r="AK243" s="19"/>
      <c r="AL243" s="19"/>
      <c r="AM243" s="19"/>
      <c r="AN243" s="19"/>
      <c r="AO243" s="19"/>
      <c r="AP243" s="84">
        <v>0</v>
      </c>
      <c r="AQ243" s="60">
        <v>158103</v>
      </c>
      <c r="AR243" s="60">
        <v>92917</v>
      </c>
      <c r="AS243" s="60">
        <v>47507</v>
      </c>
      <c r="AT243" s="60">
        <v>61385</v>
      </c>
      <c r="AU243" s="24">
        <v>143108</v>
      </c>
      <c r="AV243" s="60">
        <v>9808.9895341321553</v>
      </c>
      <c r="AW243" s="24">
        <v>80926.960000000006</v>
      </c>
      <c r="AX243" s="24">
        <v>52022</v>
      </c>
      <c r="AY243" s="60">
        <v>5653</v>
      </c>
      <c r="AZ243" s="60">
        <v>14734</v>
      </c>
    </row>
    <row r="244" spans="1:52">
      <c r="A244" s="5" t="s">
        <v>242</v>
      </c>
      <c r="B244" s="7" t="s">
        <v>264</v>
      </c>
      <c r="C244" s="7" t="s">
        <v>260</v>
      </c>
      <c r="D244" s="15">
        <v>12.146025247355851</v>
      </c>
      <c r="E244" s="15">
        <v>7.1</v>
      </c>
      <c r="F244" s="15">
        <v>99.7</v>
      </c>
      <c r="G244" s="12">
        <v>13913.309260918553</v>
      </c>
      <c r="H244" s="12">
        <v>7045</v>
      </c>
      <c r="I244" s="12">
        <v>6869</v>
      </c>
      <c r="J244" s="15">
        <v>21.1</v>
      </c>
      <c r="K244" s="15">
        <v>15.2</v>
      </c>
      <c r="L244" s="15">
        <v>11.1</v>
      </c>
      <c r="M244" s="15">
        <v>9.5</v>
      </c>
      <c r="N244" s="15">
        <v>16.897865305829079</v>
      </c>
      <c r="O244" s="15">
        <v>14.985984331201035</v>
      </c>
      <c r="P244" s="15">
        <v>7.8775246172644291</v>
      </c>
      <c r="Q244" s="15">
        <v>1.2</v>
      </c>
      <c r="R244" s="15">
        <v>2.1</v>
      </c>
      <c r="S244" s="15">
        <v>52.9</v>
      </c>
      <c r="T244" s="15">
        <v>0.7</v>
      </c>
      <c r="U244" s="12">
        <v>158</v>
      </c>
      <c r="V244" s="12">
        <v>151</v>
      </c>
      <c r="W244" s="15">
        <v>4</v>
      </c>
      <c r="X244" s="15">
        <v>3.3</v>
      </c>
      <c r="Y244" s="24">
        <v>15</v>
      </c>
      <c r="Z244" s="19">
        <v>3.5</v>
      </c>
      <c r="AA244" s="19">
        <v>2.4</v>
      </c>
      <c r="AB244" s="19">
        <v>12</v>
      </c>
      <c r="AC244" s="49">
        <v>1</v>
      </c>
      <c r="AD244" s="27">
        <v>1</v>
      </c>
      <c r="AE244" s="27">
        <v>2</v>
      </c>
      <c r="AF244" s="31">
        <v>0</v>
      </c>
      <c r="AG244" s="15">
        <v>61.936741767764303</v>
      </c>
      <c r="AH244" s="19"/>
      <c r="AI244" s="19"/>
      <c r="AJ244" s="19"/>
      <c r="AK244" s="19"/>
      <c r="AL244" s="19"/>
      <c r="AM244" s="19"/>
      <c r="AN244" s="19"/>
      <c r="AO244" s="19"/>
      <c r="AP244" s="84">
        <v>0</v>
      </c>
      <c r="AQ244" s="60">
        <v>17595</v>
      </c>
      <c r="AR244" s="60">
        <v>299</v>
      </c>
      <c r="AS244" s="60">
        <v>63</v>
      </c>
      <c r="AT244" s="60">
        <v>3503.4953999999998</v>
      </c>
      <c r="AU244" s="24">
        <v>266046</v>
      </c>
      <c r="AV244" s="60">
        <v>22689.138441472322</v>
      </c>
      <c r="AW244" s="24">
        <v>6221.1891999999998</v>
      </c>
      <c r="AX244" s="24">
        <v>5757.3770000000004</v>
      </c>
      <c r="AY244" s="60">
        <v>278.47340000000003</v>
      </c>
      <c r="AZ244" s="60">
        <v>86.384399999999999</v>
      </c>
    </row>
    <row r="245" spans="1:52">
      <c r="A245" s="5" t="s">
        <v>243</v>
      </c>
      <c r="B245" s="7" t="s">
        <v>264</v>
      </c>
      <c r="C245" s="7" t="s">
        <v>261</v>
      </c>
      <c r="D245" s="15">
        <v>13.24200913242009</v>
      </c>
      <c r="E245" s="15">
        <v>50.5</v>
      </c>
      <c r="F245" s="15" t="s">
        <v>280</v>
      </c>
      <c r="G245" s="12">
        <v>10229.776062373749</v>
      </c>
      <c r="H245" s="12">
        <v>5591</v>
      </c>
      <c r="I245" s="12">
        <v>4639</v>
      </c>
      <c r="J245" s="15">
        <v>11.2</v>
      </c>
      <c r="K245" s="15">
        <v>12</v>
      </c>
      <c r="L245" s="15">
        <v>13.2</v>
      </c>
      <c r="M245" s="15">
        <v>14.1</v>
      </c>
      <c r="N245" s="15">
        <v>16.226783968719452</v>
      </c>
      <c r="O245" s="15">
        <v>14.193548387096774</v>
      </c>
      <c r="P245" s="15">
        <v>11.798631476050831</v>
      </c>
      <c r="Q245" s="15">
        <v>1.7</v>
      </c>
      <c r="R245" s="15">
        <v>5.5</v>
      </c>
      <c r="S245" s="15">
        <v>43.8</v>
      </c>
      <c r="T245" s="15">
        <v>2</v>
      </c>
      <c r="U245" s="12">
        <v>-161</v>
      </c>
      <c r="V245" s="12">
        <v>153</v>
      </c>
      <c r="W245" s="15">
        <v>8.5</v>
      </c>
      <c r="X245" s="15">
        <v>4.8</v>
      </c>
      <c r="Y245" s="24">
        <v>16</v>
      </c>
      <c r="Z245" s="19">
        <v>34.1</v>
      </c>
      <c r="AA245" s="19">
        <v>4.4000000000000004</v>
      </c>
      <c r="AB245" s="19">
        <v>18</v>
      </c>
      <c r="AC245" s="49">
        <v>5</v>
      </c>
      <c r="AD245" s="27">
        <v>5</v>
      </c>
      <c r="AE245" s="27">
        <v>6</v>
      </c>
      <c r="AF245" s="31">
        <v>0.3</v>
      </c>
      <c r="AG245" s="15">
        <v>80.449565545901024</v>
      </c>
      <c r="AH245" s="19"/>
      <c r="AI245" s="19"/>
      <c r="AJ245" s="19"/>
      <c r="AK245" s="19"/>
      <c r="AL245" s="19"/>
      <c r="AM245" s="19"/>
      <c r="AN245" s="19"/>
      <c r="AO245" s="19"/>
      <c r="AP245" s="84">
        <v>0</v>
      </c>
      <c r="AQ245" s="60">
        <v>62469</v>
      </c>
      <c r="AR245" s="60">
        <v>31063</v>
      </c>
      <c r="AS245" s="60">
        <v>10443</v>
      </c>
      <c r="AT245" s="60">
        <v>11670</v>
      </c>
      <c r="AU245" s="24">
        <v>52190</v>
      </c>
      <c r="AV245" s="60">
        <v>11204.741853694377</v>
      </c>
      <c r="AW245" s="24">
        <v>31875</v>
      </c>
      <c r="AX245" s="24">
        <v>11729</v>
      </c>
      <c r="AY245" s="60">
        <v>12558</v>
      </c>
      <c r="AZ245" s="60">
        <v>1768</v>
      </c>
    </row>
    <row r="246" spans="1:52">
      <c r="A246" s="5" t="s">
        <v>244</v>
      </c>
      <c r="B246" s="7" t="s">
        <v>264</v>
      </c>
      <c r="C246" s="7" t="s">
        <v>261</v>
      </c>
      <c r="D246" s="15">
        <v>15.335413416536662</v>
      </c>
      <c r="E246" s="15">
        <v>42.9</v>
      </c>
      <c r="F246" s="15" t="s">
        <v>280</v>
      </c>
      <c r="G246" s="12">
        <v>14583.997449314313</v>
      </c>
      <c r="H246" s="12">
        <v>7286</v>
      </c>
      <c r="I246" s="12">
        <v>7298</v>
      </c>
      <c r="J246" s="15">
        <v>7.6</v>
      </c>
      <c r="K246" s="15">
        <v>9.1999999999999993</v>
      </c>
      <c r="L246" s="15">
        <v>8</v>
      </c>
      <c r="M246" s="15">
        <v>6.4</v>
      </c>
      <c r="N246" s="15">
        <v>12.22572682391662</v>
      </c>
      <c r="O246" s="15">
        <v>18.787712561711466</v>
      </c>
      <c r="P246" s="15">
        <v>15.9009873834339</v>
      </c>
      <c r="Q246" s="15">
        <v>4.3</v>
      </c>
      <c r="R246" s="15">
        <v>17.600000000000001</v>
      </c>
      <c r="S246" s="15">
        <v>28.9</v>
      </c>
      <c r="T246" s="15">
        <v>8.5</v>
      </c>
      <c r="U246" s="12">
        <v>169</v>
      </c>
      <c r="V246" s="12">
        <v>335</v>
      </c>
      <c r="W246" s="15">
        <v>38.4</v>
      </c>
      <c r="X246" s="15">
        <v>29.9</v>
      </c>
      <c r="Y246" s="24">
        <v>140</v>
      </c>
      <c r="Z246" s="19">
        <v>41.6</v>
      </c>
      <c r="AA246" s="19">
        <v>15.1</v>
      </c>
      <c r="AB246" s="19">
        <v>57</v>
      </c>
      <c r="AC246" s="49">
        <v>7</v>
      </c>
      <c r="AD246" s="27">
        <v>7</v>
      </c>
      <c r="AE246" s="27">
        <v>2</v>
      </c>
      <c r="AF246" s="31">
        <v>0.4</v>
      </c>
      <c r="AG246" s="15">
        <v>66.848303744067493</v>
      </c>
      <c r="AH246" s="19"/>
      <c r="AI246" s="19"/>
      <c r="AJ246" s="19"/>
      <c r="AK246" s="19"/>
      <c r="AL246" s="19"/>
      <c r="AM246" s="19"/>
      <c r="AN246" s="19"/>
      <c r="AO246" s="19"/>
      <c r="AP246" s="84">
        <v>0</v>
      </c>
      <c r="AQ246" s="60">
        <v>114115</v>
      </c>
      <c r="AR246" s="60">
        <v>61389</v>
      </c>
      <c r="AS246" s="60">
        <v>24701</v>
      </c>
      <c r="AT246" s="60">
        <v>26743</v>
      </c>
      <c r="AU246" s="24">
        <v>66062</v>
      </c>
      <c r="AV246" s="60">
        <v>12354.088831006415</v>
      </c>
      <c r="AW246" s="24">
        <v>66760</v>
      </c>
      <c r="AX246" s="24">
        <v>29005</v>
      </c>
      <c r="AY246" s="60">
        <v>14664</v>
      </c>
      <c r="AZ246" s="60">
        <v>7690</v>
      </c>
    </row>
    <row r="247" spans="1:52">
      <c r="A247" s="5" t="s">
        <v>245</v>
      </c>
      <c r="B247" s="7" t="s">
        <v>264</v>
      </c>
      <c r="C247" s="7" t="s">
        <v>261</v>
      </c>
      <c r="D247" s="15">
        <v>14.539527302363489</v>
      </c>
      <c r="E247" s="15">
        <v>47.6</v>
      </c>
      <c r="F247" s="15" t="s">
        <v>280</v>
      </c>
      <c r="G247" s="12">
        <v>14773.219429189436</v>
      </c>
      <c r="H247" s="12">
        <v>7547</v>
      </c>
      <c r="I247" s="12">
        <v>7226</v>
      </c>
      <c r="J247" s="15">
        <v>9.6</v>
      </c>
      <c r="K247" s="15">
        <v>11.2</v>
      </c>
      <c r="L247" s="15">
        <v>9.6999999999999993</v>
      </c>
      <c r="M247" s="15">
        <v>8.9</v>
      </c>
      <c r="N247" s="15">
        <v>11.426250592296757</v>
      </c>
      <c r="O247" s="15">
        <v>19.122723888174374</v>
      </c>
      <c r="P247" s="15">
        <v>13.389291274622622</v>
      </c>
      <c r="Q247" s="15">
        <v>3.7</v>
      </c>
      <c r="R247" s="15">
        <v>13</v>
      </c>
      <c r="S247" s="15">
        <v>35.4</v>
      </c>
      <c r="T247" s="15">
        <v>5.9</v>
      </c>
      <c r="U247" s="12">
        <v>246</v>
      </c>
      <c r="V247" s="12">
        <v>359</v>
      </c>
      <c r="W247" s="15">
        <v>42.4</v>
      </c>
      <c r="X247" s="15">
        <v>29.3</v>
      </c>
      <c r="Y247" s="24">
        <v>137</v>
      </c>
      <c r="Z247" s="19">
        <v>32.700000000000003</v>
      </c>
      <c r="AA247" s="19">
        <v>18.399999999999999</v>
      </c>
      <c r="AB247" s="19">
        <v>73</v>
      </c>
      <c r="AC247" s="49">
        <v>6</v>
      </c>
      <c r="AD247" s="27">
        <v>6</v>
      </c>
      <c r="AE247" s="27">
        <v>2</v>
      </c>
      <c r="AF247" s="31">
        <v>0.3</v>
      </c>
      <c r="AG247" s="15">
        <v>70.173255480042116</v>
      </c>
      <c r="AH247" s="19"/>
      <c r="AI247" s="19"/>
      <c r="AJ247" s="19"/>
      <c r="AK247" s="19"/>
      <c r="AL247" s="19"/>
      <c r="AM247" s="19"/>
      <c r="AN247" s="19"/>
      <c r="AO247" s="19"/>
      <c r="AP247" s="84">
        <v>0</v>
      </c>
      <c r="AQ247" s="60">
        <v>108128</v>
      </c>
      <c r="AR247" s="60">
        <v>52934</v>
      </c>
      <c r="AS247" s="60">
        <v>20201</v>
      </c>
      <c r="AT247" s="60">
        <v>25448.92729</v>
      </c>
      <c r="AU247" s="24">
        <v>79376</v>
      </c>
      <c r="AV247" s="60">
        <v>12714.019506735611</v>
      </c>
      <c r="AW247" s="24">
        <v>58349.484400000001</v>
      </c>
      <c r="AX247" s="24">
        <v>25206.92729</v>
      </c>
      <c r="AY247" s="60">
        <v>6864.5870299999997</v>
      </c>
      <c r="AZ247" s="60">
        <v>15687.954229999999</v>
      </c>
    </row>
    <row r="248" spans="1:52">
      <c r="A248" s="5" t="s">
        <v>246</v>
      </c>
      <c r="B248" s="7" t="s">
        <v>264</v>
      </c>
      <c r="C248" s="7" t="s">
        <v>261</v>
      </c>
      <c r="D248" s="15">
        <v>15.513113202294115</v>
      </c>
      <c r="E248" s="15">
        <v>56.9</v>
      </c>
      <c r="F248" s="15" t="s">
        <v>280</v>
      </c>
      <c r="G248" s="12">
        <v>43222.366958078681</v>
      </c>
      <c r="H248" s="12">
        <v>21884</v>
      </c>
      <c r="I248" s="12">
        <v>21339</v>
      </c>
      <c r="J248" s="15">
        <v>6.3</v>
      </c>
      <c r="K248" s="15">
        <v>8.4</v>
      </c>
      <c r="L248" s="15">
        <v>9.6999999999999993</v>
      </c>
      <c r="M248" s="15">
        <v>10.6</v>
      </c>
      <c r="N248" s="15">
        <v>11.551987413817038</v>
      </c>
      <c r="O248" s="15">
        <v>15.723474156679467</v>
      </c>
      <c r="P248" s="15">
        <v>20.040720003701818</v>
      </c>
      <c r="Q248" s="15">
        <v>3.9</v>
      </c>
      <c r="R248" s="15">
        <v>13.8</v>
      </c>
      <c r="S248" s="15">
        <v>31.1</v>
      </c>
      <c r="T248" s="15">
        <v>6.5</v>
      </c>
      <c r="U248" s="12">
        <v>10</v>
      </c>
      <c r="V248" s="12">
        <v>1069</v>
      </c>
      <c r="W248" s="15">
        <v>10.8</v>
      </c>
      <c r="X248" s="15">
        <v>0.7</v>
      </c>
      <c r="Y248" s="24">
        <v>3</v>
      </c>
      <c r="Z248" s="19">
        <v>68.3</v>
      </c>
      <c r="AA248" s="19">
        <v>24.9</v>
      </c>
      <c r="AB248" s="19">
        <v>113</v>
      </c>
      <c r="AC248" s="49">
        <v>8</v>
      </c>
      <c r="AD248" s="27">
        <v>8</v>
      </c>
      <c r="AE248" s="27">
        <v>6</v>
      </c>
      <c r="AF248" s="31">
        <v>0.7</v>
      </c>
      <c r="AG248" s="15">
        <v>73.019582030607211</v>
      </c>
      <c r="AH248" s="19"/>
      <c r="AI248" s="19"/>
      <c r="AJ248" s="19"/>
      <c r="AK248" s="19"/>
      <c r="AL248" s="19"/>
      <c r="AM248" s="19"/>
      <c r="AN248" s="19"/>
      <c r="AO248" s="19"/>
      <c r="AP248" s="84">
        <v>0</v>
      </c>
      <c r="AQ248" s="60">
        <v>292427</v>
      </c>
      <c r="AR248" s="60">
        <v>166720</v>
      </c>
      <c r="AS248" s="60">
        <v>86027</v>
      </c>
      <c r="AT248" s="60">
        <v>100730.76</v>
      </c>
      <c r="AU248" s="24">
        <v>155261</v>
      </c>
      <c r="AV248" s="60">
        <v>10380.828991507522</v>
      </c>
      <c r="AW248" s="24">
        <v>180825.01</v>
      </c>
      <c r="AX248" s="24">
        <v>93254.76</v>
      </c>
      <c r="AY248" s="60">
        <v>33324.400000000001</v>
      </c>
      <c r="AZ248" s="60">
        <v>32439.38</v>
      </c>
    </row>
    <row r="249" spans="1:52">
      <c r="A249" s="5" t="s">
        <v>247</v>
      </c>
      <c r="B249" s="7" t="s">
        <v>264</v>
      </c>
      <c r="C249" s="7" t="s">
        <v>261</v>
      </c>
      <c r="D249" s="15">
        <v>12.633471344519503</v>
      </c>
      <c r="E249" s="15">
        <v>61.5</v>
      </c>
      <c r="F249" s="15">
        <v>4.9000000000000004</v>
      </c>
      <c r="G249" s="12">
        <v>40700.18441306756</v>
      </c>
      <c r="H249" s="12">
        <v>20360</v>
      </c>
      <c r="I249" s="12">
        <v>20341</v>
      </c>
      <c r="J249" s="15">
        <v>7.4</v>
      </c>
      <c r="K249" s="15">
        <v>9.6</v>
      </c>
      <c r="L249" s="15">
        <v>10.199999999999999</v>
      </c>
      <c r="M249" s="15">
        <v>9.6</v>
      </c>
      <c r="N249" s="15">
        <v>12.046683046683047</v>
      </c>
      <c r="O249" s="15">
        <v>16.405405405405403</v>
      </c>
      <c r="P249" s="15">
        <v>18.398034398034397</v>
      </c>
      <c r="Q249" s="15">
        <v>4.5</v>
      </c>
      <c r="R249" s="15">
        <v>11.9</v>
      </c>
      <c r="S249" s="15">
        <v>33</v>
      </c>
      <c r="T249" s="15">
        <v>4.5</v>
      </c>
      <c r="U249" s="12">
        <v>86</v>
      </c>
      <c r="V249" s="12">
        <v>888</v>
      </c>
      <c r="W249" s="15">
        <v>91.7</v>
      </c>
      <c r="X249" s="15">
        <v>35.6</v>
      </c>
      <c r="Y249" s="24">
        <v>151</v>
      </c>
      <c r="Z249" s="19">
        <v>130.5</v>
      </c>
      <c r="AA249" s="19">
        <v>51.1</v>
      </c>
      <c r="AB249" s="19">
        <v>197</v>
      </c>
      <c r="AC249" s="49">
        <v>8</v>
      </c>
      <c r="AD249" s="27">
        <v>8</v>
      </c>
      <c r="AE249" s="27">
        <v>4</v>
      </c>
      <c r="AF249" s="31">
        <v>0.6</v>
      </c>
      <c r="AG249" s="15">
        <v>71.772665764546687</v>
      </c>
      <c r="AH249" s="19"/>
      <c r="AI249" s="19"/>
      <c r="AJ249" s="19"/>
      <c r="AK249" s="19"/>
      <c r="AL249" s="19"/>
      <c r="AM249" s="19"/>
      <c r="AN249" s="19"/>
      <c r="AO249" s="19"/>
      <c r="AP249" s="84">
        <v>0</v>
      </c>
      <c r="AQ249" s="60">
        <v>271121</v>
      </c>
      <c r="AR249" s="60">
        <v>150774</v>
      </c>
      <c r="AS249" s="60">
        <v>61883</v>
      </c>
      <c r="AT249" s="60">
        <v>69686</v>
      </c>
      <c r="AU249" s="24">
        <v>166695.5</v>
      </c>
      <c r="AV249" s="60">
        <v>10736.634398631824</v>
      </c>
      <c r="AW249" s="24">
        <v>189093</v>
      </c>
      <c r="AX249" s="24">
        <v>70645</v>
      </c>
      <c r="AY249" s="60">
        <v>18196</v>
      </c>
      <c r="AZ249" s="60">
        <v>28036</v>
      </c>
    </row>
    <row r="250" spans="1:52">
      <c r="A250" s="5" t="s">
        <v>248</v>
      </c>
      <c r="B250" s="7" t="s">
        <v>264</v>
      </c>
      <c r="C250" s="7" t="s">
        <v>261</v>
      </c>
      <c r="D250" s="15">
        <v>19.543452142571084</v>
      </c>
      <c r="E250" s="15">
        <v>48.7</v>
      </c>
      <c r="F250" s="15" t="s">
        <v>280</v>
      </c>
      <c r="G250" s="12">
        <v>6333.1840542529799</v>
      </c>
      <c r="H250" s="12">
        <v>3180</v>
      </c>
      <c r="I250" s="12">
        <v>3153</v>
      </c>
      <c r="J250" s="15">
        <v>14.2</v>
      </c>
      <c r="K250" s="15">
        <v>14.6</v>
      </c>
      <c r="L250" s="15">
        <v>12.6</v>
      </c>
      <c r="M250" s="15">
        <v>7.7</v>
      </c>
      <c r="N250" s="15">
        <v>8.7951997473551238</v>
      </c>
      <c r="O250" s="15">
        <v>22.043265435022896</v>
      </c>
      <c r="P250" s="15">
        <v>8.8267803568608869</v>
      </c>
      <c r="Q250" s="15">
        <v>2.6</v>
      </c>
      <c r="R250" s="15">
        <v>8.6999999999999993</v>
      </c>
      <c r="S250" s="15">
        <v>46</v>
      </c>
      <c r="T250" s="15">
        <v>1.5</v>
      </c>
      <c r="U250" s="12">
        <v>160</v>
      </c>
      <c r="V250" s="12">
        <v>129</v>
      </c>
      <c r="W250" s="15">
        <v>23</v>
      </c>
      <c r="X250" s="15">
        <v>12.8</v>
      </c>
      <c r="Y250" s="24">
        <v>58</v>
      </c>
      <c r="Z250" s="19">
        <v>19.600000000000001</v>
      </c>
      <c r="AA250" s="19">
        <v>5.3</v>
      </c>
      <c r="AB250" s="19">
        <v>25</v>
      </c>
      <c r="AC250" s="49">
        <v>6</v>
      </c>
      <c r="AD250" s="27">
        <v>6</v>
      </c>
      <c r="AE250" s="27">
        <v>3</v>
      </c>
      <c r="AF250" s="31" t="s">
        <v>282</v>
      </c>
      <c r="AG250" s="15">
        <v>71.149395731550527</v>
      </c>
      <c r="AH250" s="19"/>
      <c r="AI250" s="19"/>
      <c r="AJ250" s="19"/>
      <c r="AK250" s="19"/>
      <c r="AL250" s="19"/>
      <c r="AM250" s="19"/>
      <c r="AN250" s="19"/>
      <c r="AO250" s="19"/>
      <c r="AP250" s="84">
        <v>0</v>
      </c>
      <c r="AQ250" s="60">
        <v>31132</v>
      </c>
      <c r="AR250" s="60">
        <v>17903</v>
      </c>
      <c r="AS250" s="60">
        <v>8751</v>
      </c>
      <c r="AT250" s="60">
        <v>9300</v>
      </c>
      <c r="AU250" s="24">
        <v>75639</v>
      </c>
      <c r="AV250" s="60">
        <v>16395.860140882647</v>
      </c>
      <c r="AW250" s="24">
        <v>17170.48</v>
      </c>
      <c r="AX250" s="24">
        <v>8840</v>
      </c>
      <c r="AY250" s="60">
        <v>2144.2800000000002</v>
      </c>
      <c r="AZ250" s="60">
        <v>2110.29</v>
      </c>
    </row>
    <row r="251" spans="1:52">
      <c r="A251" s="5" t="s">
        <v>249</v>
      </c>
      <c r="B251" s="7" t="s">
        <v>264</v>
      </c>
      <c r="C251" s="7" t="s">
        <v>261</v>
      </c>
      <c r="D251" s="15">
        <v>13.884603517432891</v>
      </c>
      <c r="E251" s="15">
        <v>54.8</v>
      </c>
      <c r="F251" s="15">
        <v>5.8</v>
      </c>
      <c r="G251" s="12">
        <v>8482.3456542726672</v>
      </c>
      <c r="H251" s="12">
        <v>4477</v>
      </c>
      <c r="I251" s="12">
        <v>4005</v>
      </c>
      <c r="J251" s="15">
        <v>9.1</v>
      </c>
      <c r="K251" s="15">
        <v>11.4</v>
      </c>
      <c r="L251" s="15">
        <v>10.1</v>
      </c>
      <c r="M251" s="15">
        <v>10.6</v>
      </c>
      <c r="N251" s="15">
        <v>13.593492100919594</v>
      </c>
      <c r="O251" s="15">
        <v>21.740155623673662</v>
      </c>
      <c r="P251" s="15">
        <v>13.487385050695591</v>
      </c>
      <c r="Q251" s="15">
        <v>3</v>
      </c>
      <c r="R251" s="15">
        <v>7</v>
      </c>
      <c r="S251" s="15">
        <v>36.4</v>
      </c>
      <c r="T251" s="15">
        <v>2.8</v>
      </c>
      <c r="U251" s="12">
        <v>115</v>
      </c>
      <c r="V251" s="12">
        <v>162</v>
      </c>
      <c r="W251" s="15">
        <v>17.5</v>
      </c>
      <c r="X251" s="15">
        <v>10.4</v>
      </c>
      <c r="Y251" s="24">
        <v>55</v>
      </c>
      <c r="Z251" s="19">
        <v>12.3</v>
      </c>
      <c r="AA251" s="19">
        <v>9.8000000000000007</v>
      </c>
      <c r="AB251" s="19">
        <v>47</v>
      </c>
      <c r="AC251" s="59">
        <v>6</v>
      </c>
      <c r="AD251" s="27">
        <v>6</v>
      </c>
      <c r="AE251" s="27">
        <v>1</v>
      </c>
      <c r="AF251" s="31">
        <v>0</v>
      </c>
      <c r="AG251" s="15">
        <v>63.515625</v>
      </c>
      <c r="AH251" s="19"/>
      <c r="AI251" s="19"/>
      <c r="AJ251" s="19"/>
      <c r="AK251" s="19"/>
      <c r="AL251" s="19"/>
      <c r="AM251" s="19"/>
      <c r="AN251" s="19"/>
      <c r="AO251" s="19"/>
      <c r="AP251" s="84">
        <v>0</v>
      </c>
      <c r="AQ251" s="60">
        <v>115071</v>
      </c>
      <c r="AR251" s="60">
        <v>52120</v>
      </c>
      <c r="AS251" s="60">
        <v>14114</v>
      </c>
      <c r="AT251" s="60">
        <v>14917</v>
      </c>
      <c r="AU251" s="24">
        <v>60365</v>
      </c>
      <c r="AV251" s="60">
        <v>20503.880304900536</v>
      </c>
      <c r="AW251" s="24">
        <v>45239</v>
      </c>
      <c r="AX251" s="24">
        <v>14744</v>
      </c>
      <c r="AY251" s="60">
        <v>7943</v>
      </c>
      <c r="AZ251" s="60">
        <v>2636</v>
      </c>
    </row>
    <row r="252" spans="1:52">
      <c r="A252" s="5" t="s">
        <v>250</v>
      </c>
      <c r="B252" s="7" t="s">
        <v>264</v>
      </c>
      <c r="C252" s="7" t="s">
        <v>261</v>
      </c>
      <c r="D252" s="15">
        <v>13.157013726146635</v>
      </c>
      <c r="E252" s="15">
        <v>32.1</v>
      </c>
      <c r="F252" s="15" t="s">
        <v>280</v>
      </c>
      <c r="G252" s="12">
        <v>15904.594304632557</v>
      </c>
      <c r="H252" s="12">
        <v>8080</v>
      </c>
      <c r="I252" s="12">
        <v>7825</v>
      </c>
      <c r="J252" s="15">
        <v>11</v>
      </c>
      <c r="K252" s="15">
        <v>11.6</v>
      </c>
      <c r="L252" s="15">
        <v>11.2</v>
      </c>
      <c r="M252" s="15">
        <v>9.3000000000000007</v>
      </c>
      <c r="N252" s="15">
        <v>13.448601068846274</v>
      </c>
      <c r="O252" s="15">
        <v>16.57340458975165</v>
      </c>
      <c r="P252" s="15">
        <v>12.983338572775857</v>
      </c>
      <c r="Q252" s="15">
        <v>3.4</v>
      </c>
      <c r="R252" s="15">
        <v>10.4</v>
      </c>
      <c r="S252" s="15">
        <v>39</v>
      </c>
      <c r="T252" s="15">
        <v>4.5999999999999996</v>
      </c>
      <c r="U252" s="12">
        <v>-310</v>
      </c>
      <c r="V252" s="12">
        <v>247</v>
      </c>
      <c r="W252" s="15">
        <v>2.2999999999999998</v>
      </c>
      <c r="X252" s="15">
        <v>0.8</v>
      </c>
      <c r="Y252" s="24">
        <v>3</v>
      </c>
      <c r="Z252" s="19">
        <v>7.6</v>
      </c>
      <c r="AA252" s="19">
        <v>4</v>
      </c>
      <c r="AB252" s="19">
        <v>13</v>
      </c>
      <c r="AC252" s="49">
        <v>6</v>
      </c>
      <c r="AD252" s="27">
        <v>6</v>
      </c>
      <c r="AE252" s="27">
        <v>8</v>
      </c>
      <c r="AF252" s="31">
        <v>1.7</v>
      </c>
      <c r="AG252" s="15">
        <v>75.051647811116567</v>
      </c>
      <c r="AH252" s="19"/>
      <c r="AI252" s="19"/>
      <c r="AJ252" s="19"/>
      <c r="AK252" s="19"/>
      <c r="AL252" s="19"/>
      <c r="AM252" s="19"/>
      <c r="AN252" s="24"/>
      <c r="AO252" s="19"/>
      <c r="AP252" s="84">
        <v>0</v>
      </c>
      <c r="AQ252" s="60">
        <v>80508</v>
      </c>
      <c r="AR252" s="60">
        <v>59627</v>
      </c>
      <c r="AS252" s="60">
        <v>18503</v>
      </c>
      <c r="AT252" s="60">
        <v>25986</v>
      </c>
      <c r="AU252" s="24">
        <v>59735</v>
      </c>
      <c r="AV252" s="60">
        <v>8744.3286723441524</v>
      </c>
      <c r="AW252" s="24">
        <v>68891</v>
      </c>
      <c r="AX252" s="24">
        <v>23034</v>
      </c>
      <c r="AY252" s="60">
        <v>31846</v>
      </c>
      <c r="AZ252" s="60">
        <v>3945</v>
      </c>
    </row>
    <row r="253" spans="1:52">
      <c r="A253" s="5" t="s">
        <v>251</v>
      </c>
      <c r="B253" s="7" t="s">
        <v>264</v>
      </c>
      <c r="C253" s="7" t="s">
        <v>261</v>
      </c>
      <c r="D253" s="15">
        <v>14.898320070733865</v>
      </c>
      <c r="E253" s="15">
        <v>43.1</v>
      </c>
      <c r="F253" s="15" t="s">
        <v>280</v>
      </c>
      <c r="G253" s="12">
        <v>11227.629677354898</v>
      </c>
      <c r="H253" s="12">
        <v>5689</v>
      </c>
      <c r="I253" s="12">
        <v>5539</v>
      </c>
      <c r="J253" s="15">
        <v>10.7</v>
      </c>
      <c r="K253" s="15">
        <v>11.4</v>
      </c>
      <c r="L253" s="15">
        <v>11.5</v>
      </c>
      <c r="M253" s="15">
        <v>9.8000000000000007</v>
      </c>
      <c r="N253" s="15">
        <v>13.893836836480228</v>
      </c>
      <c r="O253" s="15">
        <v>16.752760954755967</v>
      </c>
      <c r="P253" s="15">
        <v>13.706804417527611</v>
      </c>
      <c r="Q253" s="15">
        <v>3.6</v>
      </c>
      <c r="R253" s="15">
        <v>8.6999999999999993</v>
      </c>
      <c r="S253" s="15">
        <v>39.299999999999997</v>
      </c>
      <c r="T253" s="15">
        <v>3.7</v>
      </c>
      <c r="U253" s="12">
        <v>-47</v>
      </c>
      <c r="V253" s="12">
        <v>243</v>
      </c>
      <c r="W253" s="15">
        <v>11.8</v>
      </c>
      <c r="X253" s="15">
        <v>10.4</v>
      </c>
      <c r="Y253" s="24">
        <v>42</v>
      </c>
      <c r="Z253" s="19">
        <v>8.6999999999999993</v>
      </c>
      <c r="AA253" s="19">
        <v>5.4</v>
      </c>
      <c r="AB253" s="19">
        <v>23</v>
      </c>
      <c r="AC253" s="49">
        <v>6</v>
      </c>
      <c r="AD253" s="27">
        <v>6</v>
      </c>
      <c r="AE253" s="27">
        <v>3</v>
      </c>
      <c r="AF253" s="31">
        <v>0.2</v>
      </c>
      <c r="AG253" s="15">
        <v>79.363057324840767</v>
      </c>
      <c r="AH253" s="19"/>
      <c r="AI253" s="19"/>
      <c r="AJ253" s="19"/>
      <c r="AK253" s="19"/>
      <c r="AL253" s="19"/>
      <c r="AM253" s="19"/>
      <c r="AN253" s="24"/>
      <c r="AO253" s="19"/>
      <c r="AP253" s="84">
        <v>0</v>
      </c>
      <c r="AQ253" s="60">
        <v>52766</v>
      </c>
      <c r="AR253" s="60">
        <v>29717</v>
      </c>
      <c r="AS253" s="60">
        <v>10163</v>
      </c>
      <c r="AT253" s="60">
        <v>11138.87</v>
      </c>
      <c r="AU253" s="24">
        <v>78158</v>
      </c>
      <c r="AV253" s="60">
        <v>11661.232491847304</v>
      </c>
      <c r="AW253" s="24">
        <v>36583.800000000003</v>
      </c>
      <c r="AX253" s="24">
        <v>15093.87</v>
      </c>
      <c r="AY253" s="60">
        <v>4560.7700000000004</v>
      </c>
      <c r="AZ253" s="60">
        <v>6214.48</v>
      </c>
    </row>
    <row r="254" spans="1:52">
      <c r="A254" s="5" t="s">
        <v>252</v>
      </c>
      <c r="B254" s="7" t="s">
        <v>264</v>
      </c>
      <c r="C254" s="7" t="s">
        <v>261</v>
      </c>
      <c r="D254" s="15">
        <v>15.621826732937844</v>
      </c>
      <c r="E254" s="15">
        <v>57.8</v>
      </c>
      <c r="F254" s="15" t="s">
        <v>280</v>
      </c>
      <c r="G254" s="12">
        <v>43589.288384753752</v>
      </c>
      <c r="H254" s="12">
        <v>22503</v>
      </c>
      <c r="I254" s="12">
        <v>21086</v>
      </c>
      <c r="J254" s="15">
        <v>16</v>
      </c>
      <c r="K254" s="15">
        <v>16.5</v>
      </c>
      <c r="L254" s="15">
        <v>13.9</v>
      </c>
      <c r="M254" s="15">
        <v>7.5</v>
      </c>
      <c r="N254" s="15">
        <v>12.117736126086857</v>
      </c>
      <c r="O254" s="15">
        <v>20.142696551882356</v>
      </c>
      <c r="P254" s="15">
        <v>8.885269219298447</v>
      </c>
      <c r="Q254" s="15">
        <v>1.7</v>
      </c>
      <c r="R254" s="15">
        <v>3.2</v>
      </c>
      <c r="S254" s="15">
        <v>51</v>
      </c>
      <c r="T254" s="15">
        <v>0.9</v>
      </c>
      <c r="U254" s="12">
        <v>1032</v>
      </c>
      <c r="V254" s="12">
        <v>739</v>
      </c>
      <c r="W254" s="15">
        <v>62.3</v>
      </c>
      <c r="X254" s="15">
        <v>45.5</v>
      </c>
      <c r="Y254" s="24">
        <v>258</v>
      </c>
      <c r="Z254" s="19">
        <v>67</v>
      </c>
      <c r="AA254" s="19">
        <v>58.5</v>
      </c>
      <c r="AB254" s="19">
        <v>314</v>
      </c>
      <c r="AC254" s="49">
        <v>6</v>
      </c>
      <c r="AD254" s="27">
        <v>6</v>
      </c>
      <c r="AE254" s="27">
        <v>5</v>
      </c>
      <c r="AF254" s="31" t="s">
        <v>282</v>
      </c>
      <c r="AG254" s="15">
        <v>78.459105286940797</v>
      </c>
      <c r="AH254" s="19"/>
      <c r="AI254" s="19"/>
      <c r="AJ254" s="19"/>
      <c r="AK254" s="19"/>
      <c r="AL254" s="19"/>
      <c r="AM254" s="19"/>
      <c r="AN254" s="24"/>
      <c r="AO254" s="19"/>
      <c r="AP254" s="84">
        <v>0</v>
      </c>
      <c r="AQ254" s="60">
        <v>146605</v>
      </c>
      <c r="AR254" s="60">
        <v>91687</v>
      </c>
      <c r="AS254" s="60">
        <v>46563</v>
      </c>
      <c r="AT254" s="60">
        <v>57976</v>
      </c>
      <c r="AU254" s="24">
        <v>367546</v>
      </c>
      <c r="AV254" s="60">
        <v>11806.042701536688</v>
      </c>
      <c r="AW254" s="24">
        <v>94943.717999999993</v>
      </c>
      <c r="AX254" s="24">
        <v>45664</v>
      </c>
      <c r="AY254" s="60">
        <v>4464.777</v>
      </c>
      <c r="AZ254" s="60">
        <v>33534.105000000003</v>
      </c>
    </row>
    <row r="255" spans="1:52">
      <c r="A255" s="5" t="s">
        <v>253</v>
      </c>
      <c r="B255" s="7" t="s">
        <v>264</v>
      </c>
      <c r="C255" s="7" t="s">
        <v>261</v>
      </c>
      <c r="D255" s="15">
        <v>13.358490566037737</v>
      </c>
      <c r="E255" s="15">
        <v>58.7</v>
      </c>
      <c r="F255" s="15" t="s">
        <v>280</v>
      </c>
      <c r="G255" s="12">
        <v>9361.8507468872231</v>
      </c>
      <c r="H255" s="12">
        <v>4765</v>
      </c>
      <c r="I255" s="12">
        <v>4597</v>
      </c>
      <c r="J255" s="15">
        <v>8.3000000000000007</v>
      </c>
      <c r="K255" s="15">
        <v>9.1999999999999993</v>
      </c>
      <c r="L255" s="15">
        <v>8.9</v>
      </c>
      <c r="M255" s="15">
        <v>7.9</v>
      </c>
      <c r="N255" s="15">
        <v>13.052766502883999</v>
      </c>
      <c r="O255" s="15">
        <v>21.192052980132452</v>
      </c>
      <c r="P255" s="15">
        <v>15.060884426404614</v>
      </c>
      <c r="Q255" s="15">
        <v>3.7</v>
      </c>
      <c r="R255" s="15">
        <v>12.6</v>
      </c>
      <c r="S255" s="15">
        <v>30.7</v>
      </c>
      <c r="T255" s="15">
        <v>6.8</v>
      </c>
      <c r="U255" s="12">
        <v>230</v>
      </c>
      <c r="V255" s="12">
        <v>209</v>
      </c>
      <c r="W255" s="15">
        <v>11.9</v>
      </c>
      <c r="X255" s="15">
        <v>7.3</v>
      </c>
      <c r="Y255" s="24">
        <v>32</v>
      </c>
      <c r="Z255" s="19">
        <v>24.5</v>
      </c>
      <c r="AA255" s="19">
        <v>10.1</v>
      </c>
      <c r="AB255" s="19">
        <v>45</v>
      </c>
      <c r="AC255" s="49">
        <v>7</v>
      </c>
      <c r="AD255" s="27">
        <v>7</v>
      </c>
      <c r="AE255" s="27">
        <v>4</v>
      </c>
      <c r="AF255" s="31">
        <v>0.4</v>
      </c>
      <c r="AG255" s="15">
        <v>69.742954475069681</v>
      </c>
      <c r="AH255" s="19"/>
      <c r="AI255" s="19"/>
      <c r="AJ255" s="19"/>
      <c r="AK255" s="19"/>
      <c r="AL255" s="19"/>
      <c r="AM255" s="19"/>
      <c r="AN255" s="19"/>
      <c r="AO255" s="19"/>
      <c r="AP255" s="84">
        <v>0</v>
      </c>
      <c r="AQ255" s="60">
        <v>59506</v>
      </c>
      <c r="AR255" s="60">
        <v>31287.627059999999</v>
      </c>
      <c r="AS255" s="60">
        <v>10143.627060000001</v>
      </c>
      <c r="AT255" s="60">
        <v>10622.998799999999</v>
      </c>
      <c r="AU255" s="24">
        <v>89412</v>
      </c>
      <c r="AV255" s="60">
        <v>15726.804878720593</v>
      </c>
      <c r="AW255" s="24">
        <v>46086.6512</v>
      </c>
      <c r="AX255" s="24">
        <v>15300.3388</v>
      </c>
      <c r="AY255" s="60">
        <v>2618.1377000000002</v>
      </c>
      <c r="AZ255" s="60">
        <v>21447.571599999999</v>
      </c>
    </row>
    <row r="256" spans="1:52">
      <c r="A256" s="5" t="s">
        <v>254</v>
      </c>
      <c r="B256" s="7" t="s">
        <v>264</v>
      </c>
      <c r="C256" s="7" t="s">
        <v>261</v>
      </c>
      <c r="D256" s="15">
        <v>11.749451426291643</v>
      </c>
      <c r="E256" s="15">
        <v>46.5</v>
      </c>
      <c r="F256" s="15" t="s">
        <v>280</v>
      </c>
      <c r="G256" s="12">
        <v>13368.096401825953</v>
      </c>
      <c r="H256" s="12">
        <v>6807</v>
      </c>
      <c r="I256" s="12">
        <v>6561</v>
      </c>
      <c r="J256" s="15">
        <v>11.3</v>
      </c>
      <c r="K256" s="15">
        <v>11.7</v>
      </c>
      <c r="L256" s="15">
        <v>11.3</v>
      </c>
      <c r="M256" s="15">
        <v>13.8</v>
      </c>
      <c r="N256" s="15">
        <v>11.89407540394973</v>
      </c>
      <c r="O256" s="15">
        <v>16.569419509275882</v>
      </c>
      <c r="P256" s="15">
        <v>11.639736684619988</v>
      </c>
      <c r="Q256" s="15">
        <v>3.4</v>
      </c>
      <c r="R256" s="15">
        <v>8.4</v>
      </c>
      <c r="S256" s="15">
        <v>43.2</v>
      </c>
      <c r="T256" s="15">
        <v>2.9</v>
      </c>
      <c r="U256" s="12">
        <v>238</v>
      </c>
      <c r="V256" s="12">
        <v>299</v>
      </c>
      <c r="W256" s="15">
        <v>39.4</v>
      </c>
      <c r="X256" s="15">
        <v>36.9</v>
      </c>
      <c r="Y256" s="24">
        <v>199</v>
      </c>
      <c r="Z256" s="19">
        <v>25.6</v>
      </c>
      <c r="AA256" s="19">
        <v>18.2</v>
      </c>
      <c r="AB256" s="19">
        <v>78</v>
      </c>
      <c r="AC256" s="49">
        <v>5</v>
      </c>
      <c r="AD256" s="27">
        <v>5</v>
      </c>
      <c r="AE256" s="27">
        <v>5</v>
      </c>
      <c r="AF256" s="31">
        <v>0.1</v>
      </c>
      <c r="AG256" s="15">
        <v>83.079654997463209</v>
      </c>
      <c r="AH256" s="19"/>
      <c r="AI256" s="19"/>
      <c r="AJ256" s="19"/>
      <c r="AK256" s="19"/>
      <c r="AL256" s="19"/>
      <c r="AM256" s="19"/>
      <c r="AN256" s="19"/>
      <c r="AO256" s="19"/>
      <c r="AP256" s="84">
        <v>0</v>
      </c>
      <c r="AQ256" s="60">
        <v>100814</v>
      </c>
      <c r="AR256" s="60">
        <v>35923</v>
      </c>
      <c r="AS256" s="60">
        <v>13213</v>
      </c>
      <c r="AT256" s="60">
        <v>19758.487389999998</v>
      </c>
      <c r="AU256" s="24">
        <v>72949</v>
      </c>
      <c r="AV256" s="60">
        <v>13039.627689712819</v>
      </c>
      <c r="AW256" s="24">
        <v>67814.48057</v>
      </c>
      <c r="AX256" s="24">
        <v>15875.819390000001</v>
      </c>
      <c r="AY256" s="60">
        <v>7323.7179900000001</v>
      </c>
      <c r="AZ256" s="60">
        <v>9689.8149799999992</v>
      </c>
    </row>
    <row r="257" spans="1:52" ht="17" thickBot="1">
      <c r="A257" s="6" t="s">
        <v>255</v>
      </c>
      <c r="B257" s="9" t="s">
        <v>264</v>
      </c>
      <c r="C257" s="9" t="s">
        <v>261</v>
      </c>
      <c r="D257" s="15">
        <v>22.981366459627328</v>
      </c>
      <c r="E257" s="15">
        <v>38.1</v>
      </c>
      <c r="F257" s="15" t="s">
        <v>280</v>
      </c>
      <c r="G257" s="12">
        <v>1593.6338020854948</v>
      </c>
      <c r="H257" s="12">
        <v>833</v>
      </c>
      <c r="I257" s="12">
        <v>761</v>
      </c>
      <c r="J257" s="15">
        <v>8.1</v>
      </c>
      <c r="K257" s="15">
        <v>8</v>
      </c>
      <c r="L257" s="15">
        <v>7.4</v>
      </c>
      <c r="M257" s="15">
        <v>10.9</v>
      </c>
      <c r="N257" s="15">
        <v>9.598494353826851</v>
      </c>
      <c r="O257" s="15">
        <v>19.761606022584694</v>
      </c>
      <c r="P257" s="15">
        <v>15.872020075282309</v>
      </c>
      <c r="Q257" s="15">
        <v>4</v>
      </c>
      <c r="R257" s="15">
        <v>16.399999999999999</v>
      </c>
      <c r="S257" s="15">
        <v>30.1</v>
      </c>
      <c r="T257" s="15">
        <v>6.9</v>
      </c>
      <c r="U257" s="12">
        <v>-13</v>
      </c>
      <c r="V257" s="12">
        <v>34</v>
      </c>
      <c r="W257" s="15">
        <v>6.5</v>
      </c>
      <c r="X257" s="15">
        <v>4.2</v>
      </c>
      <c r="Y257" s="24">
        <v>22</v>
      </c>
      <c r="Z257" s="19">
        <v>5.8</v>
      </c>
      <c r="AA257" s="19">
        <v>3.3</v>
      </c>
      <c r="AB257" s="19">
        <v>15</v>
      </c>
      <c r="AC257" s="51">
        <v>7</v>
      </c>
      <c r="AD257" s="27">
        <v>7</v>
      </c>
      <c r="AE257" s="27">
        <v>1</v>
      </c>
      <c r="AF257" s="31">
        <v>0.1</v>
      </c>
      <c r="AG257" s="15">
        <v>60.687022900763353</v>
      </c>
      <c r="AH257" s="24"/>
      <c r="AI257" s="19"/>
      <c r="AJ257" s="19"/>
      <c r="AK257" s="19"/>
      <c r="AL257" s="19"/>
      <c r="AM257" s="19"/>
      <c r="AN257" s="19"/>
      <c r="AO257" s="19"/>
      <c r="AP257" s="86">
        <v>0</v>
      </c>
      <c r="AQ257" s="62">
        <v>180516</v>
      </c>
      <c r="AR257" s="62">
        <v>148082</v>
      </c>
      <c r="AS257" s="62">
        <v>3154</v>
      </c>
      <c r="AT257" s="62">
        <v>10492</v>
      </c>
      <c r="AU257" s="25">
        <v>11893</v>
      </c>
      <c r="AV257" s="62">
        <v>120690.21110640424</v>
      </c>
      <c r="AW257" s="25">
        <v>147200</v>
      </c>
      <c r="AX257" s="25">
        <v>3154</v>
      </c>
      <c r="AY257" s="62">
        <v>6161</v>
      </c>
      <c r="AZ257" s="62">
        <v>59863</v>
      </c>
    </row>
    <row r="258" spans="1:52" ht="17" thickTop="1"/>
  </sheetData>
  <phoneticPr fontId="6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18B11-D3B6-BF45-8F94-DEC13E8CA253}">
  <dimension ref="A3:E28"/>
  <sheetViews>
    <sheetView topLeftCell="A15" workbookViewId="0">
      <selection activeCell="H43" sqref="H43"/>
    </sheetView>
  </sheetViews>
  <sheetFormatPr baseColWidth="10" defaultRowHeight="16"/>
  <cols>
    <col min="1" max="1" width="13" bestFit="1" customWidth="1"/>
    <col min="2" max="2" width="19.6640625" bestFit="1" customWidth="1"/>
    <col min="3" max="3" width="17.83203125" customWidth="1"/>
    <col min="4" max="4" width="22.33203125" customWidth="1"/>
    <col min="5" max="5" width="10.5" bestFit="1" customWidth="1"/>
    <col min="6" max="6" width="6.1640625" bestFit="1" customWidth="1"/>
    <col min="7" max="7" width="7.5" bestFit="1" customWidth="1"/>
    <col min="8" max="8" width="7.33203125" bestFit="1" customWidth="1"/>
    <col min="9" max="9" width="6.1640625" bestFit="1" customWidth="1"/>
    <col min="10" max="10" width="12.5" bestFit="1" customWidth="1"/>
    <col min="11" max="11" width="11.6640625" bestFit="1" customWidth="1"/>
    <col min="12" max="12" width="12.83203125" bestFit="1" customWidth="1"/>
    <col min="13" max="13" width="7.83203125" bestFit="1" customWidth="1"/>
    <col min="14" max="14" width="11.33203125" bestFit="1" customWidth="1"/>
    <col min="15" max="15" width="6.1640625" bestFit="1" customWidth="1"/>
    <col min="16" max="16" width="6.33203125" bestFit="1" customWidth="1"/>
    <col min="17" max="17" width="10.5" bestFit="1" customWidth="1"/>
    <col min="18" max="18" width="6.1640625" bestFit="1" customWidth="1"/>
    <col min="19" max="19" width="9.5" bestFit="1" customWidth="1"/>
    <col min="20" max="20" width="6.1640625" bestFit="1" customWidth="1"/>
    <col min="21" max="21" width="7" bestFit="1" customWidth="1"/>
    <col min="22" max="22" width="9.83203125" bestFit="1" customWidth="1"/>
    <col min="23" max="23" width="11.5" bestFit="1" customWidth="1"/>
    <col min="24" max="24" width="6.1640625" bestFit="1" customWidth="1"/>
    <col min="25" max="25" width="12.5" bestFit="1" customWidth="1"/>
    <col min="26" max="26" width="6.33203125" bestFit="1" customWidth="1"/>
    <col min="27" max="27" width="10" bestFit="1" customWidth="1"/>
    <col min="28" max="28" width="7.33203125" bestFit="1" customWidth="1"/>
    <col min="29" max="32" width="6.1640625" bestFit="1" customWidth="1"/>
    <col min="33" max="33" width="8.83203125" bestFit="1" customWidth="1"/>
    <col min="34" max="34" width="6.1640625" bestFit="1" customWidth="1"/>
    <col min="35" max="35" width="6.5" bestFit="1" customWidth="1"/>
    <col min="36" max="36" width="6.1640625" bestFit="1" customWidth="1"/>
    <col min="37" max="37" width="10.33203125" bestFit="1" customWidth="1"/>
    <col min="38" max="41" width="6.1640625" bestFit="1" customWidth="1"/>
    <col min="42" max="42" width="7.83203125" bestFit="1" customWidth="1"/>
    <col min="43" max="43" width="6.1640625" bestFit="1" customWidth="1"/>
    <col min="44" max="44" width="6.83203125" bestFit="1" customWidth="1"/>
    <col min="45" max="46" width="6.1640625" bestFit="1" customWidth="1"/>
    <col min="47" max="47" width="15.6640625" bestFit="1" customWidth="1"/>
    <col min="48" max="48" width="6.1640625" bestFit="1" customWidth="1"/>
    <col min="49" max="49" width="9.6640625" bestFit="1" customWidth="1"/>
    <col min="50" max="50" width="17.83203125" bestFit="1" customWidth="1"/>
    <col min="51" max="51" width="7.5" bestFit="1" customWidth="1"/>
    <col min="52" max="52" width="8.5" bestFit="1" customWidth="1"/>
    <col min="53" max="53" width="8.83203125" bestFit="1" customWidth="1"/>
    <col min="54" max="54" width="7.83203125" bestFit="1" customWidth="1"/>
    <col min="55" max="55" width="7.33203125" bestFit="1" customWidth="1"/>
    <col min="56" max="56" width="8.33203125" bestFit="1" customWidth="1"/>
    <col min="57" max="57" width="9" bestFit="1" customWidth="1"/>
    <col min="58" max="58" width="7.5" bestFit="1" customWidth="1"/>
    <col min="59" max="59" width="6.5" bestFit="1" customWidth="1"/>
    <col min="60" max="62" width="6.1640625" bestFit="1" customWidth="1"/>
    <col min="64" max="64" width="9.33203125" bestFit="1" customWidth="1"/>
    <col min="65" max="66" width="6.1640625" bestFit="1" customWidth="1"/>
    <col min="67" max="67" width="8.5" bestFit="1" customWidth="1"/>
    <col min="68" max="68" width="9.33203125" bestFit="1" customWidth="1"/>
    <col min="69" max="69" width="6.1640625" bestFit="1" customWidth="1"/>
    <col min="70" max="70" width="6.33203125" bestFit="1" customWidth="1"/>
    <col min="71" max="71" width="6.1640625" bestFit="1" customWidth="1"/>
    <col min="72" max="72" width="9.33203125" bestFit="1" customWidth="1"/>
    <col min="73" max="73" width="12.5" bestFit="1" customWidth="1"/>
    <col min="74" max="74" width="9.1640625" bestFit="1" customWidth="1"/>
    <col min="75" max="75" width="9.5" bestFit="1" customWidth="1"/>
    <col min="76" max="77" width="6.1640625" bestFit="1" customWidth="1"/>
    <col min="78" max="78" width="8.33203125" bestFit="1" customWidth="1"/>
    <col min="79" max="79" width="8" bestFit="1" customWidth="1"/>
    <col min="80" max="86" width="6.1640625" bestFit="1" customWidth="1"/>
    <col min="87" max="87" width="8" bestFit="1" customWidth="1"/>
    <col min="88" max="88" width="7.5" bestFit="1" customWidth="1"/>
    <col min="89" max="89" width="6.1640625" bestFit="1" customWidth="1"/>
    <col min="90" max="90" width="9.6640625" bestFit="1" customWidth="1"/>
    <col min="91" max="93" width="6.1640625" bestFit="1" customWidth="1"/>
    <col min="94" max="94" width="9.83203125" bestFit="1" customWidth="1"/>
    <col min="95" max="95" width="7" bestFit="1" customWidth="1"/>
    <col min="96" max="96" width="6.1640625" bestFit="1" customWidth="1"/>
    <col min="97" max="97" width="13.33203125" bestFit="1" customWidth="1"/>
    <col min="98" max="98" width="7" bestFit="1" customWidth="1"/>
    <col min="99" max="102" width="6.1640625" bestFit="1" customWidth="1"/>
    <col min="103" max="103" width="7.33203125" bestFit="1" customWidth="1"/>
    <col min="104" max="104" width="14.83203125" bestFit="1" customWidth="1"/>
    <col min="105" max="105" width="8.6640625" bestFit="1" customWidth="1"/>
    <col min="106" max="106" width="6.1640625" bestFit="1" customWidth="1"/>
    <col min="107" max="107" width="6.5" bestFit="1" customWidth="1"/>
    <col min="108" max="108" width="10.6640625" bestFit="1" customWidth="1"/>
    <col min="109" max="109" width="7.1640625" bestFit="1" customWidth="1"/>
    <col min="110" max="110" width="10.5" bestFit="1" customWidth="1"/>
  </cols>
  <sheetData>
    <row r="3" spans="1:2">
      <c r="A3" s="52" t="s">
        <v>303</v>
      </c>
      <c r="B3" t="s">
        <v>329</v>
      </c>
    </row>
    <row r="4" spans="1:2">
      <c r="A4" s="53" t="s">
        <v>261</v>
      </c>
      <c r="B4" s="54">
        <v>0.17592592592592593</v>
      </c>
    </row>
    <row r="5" spans="1:2">
      <c r="A5" s="53" t="s">
        <v>262</v>
      </c>
      <c r="B5" s="54">
        <v>7.407407407407407E-2</v>
      </c>
    </row>
    <row r="6" spans="1:2">
      <c r="A6" s="53" t="s">
        <v>260</v>
      </c>
      <c r="B6" s="54">
        <v>0.75</v>
      </c>
    </row>
    <row r="7" spans="1:2">
      <c r="A7" s="53" t="s">
        <v>302</v>
      </c>
      <c r="B7" s="54">
        <v>1</v>
      </c>
    </row>
    <row r="19" spans="1:5">
      <c r="A19" s="67" t="s">
        <v>347</v>
      </c>
      <c r="B19" s="67" t="s">
        <v>344</v>
      </c>
      <c r="C19" s="67" t="s">
        <v>345</v>
      </c>
      <c r="D19" s="67" t="s">
        <v>346</v>
      </c>
      <c r="E19" s="67" t="s">
        <v>303</v>
      </c>
    </row>
    <row r="20" spans="1:5">
      <c r="A20" s="69">
        <v>24125127.46322</v>
      </c>
      <c r="B20" s="69">
        <v>11974423.188190009</v>
      </c>
      <c r="C20" s="65">
        <v>6347873.1502899993</v>
      </c>
      <c r="D20" s="65">
        <v>2297225.18298</v>
      </c>
      <c r="E20" s="53" t="s">
        <v>261</v>
      </c>
    </row>
    <row r="21" spans="1:5">
      <c r="A21" s="69">
        <v>10433757.3693</v>
      </c>
      <c r="B21" s="69">
        <v>3955918.7584999995</v>
      </c>
      <c r="C21" s="65">
        <v>4690225.4909999995</v>
      </c>
      <c r="D21" s="65">
        <v>533920.92440000002</v>
      </c>
      <c r="E21" s="53" t="s">
        <v>262</v>
      </c>
    </row>
    <row r="22" spans="1:5">
      <c r="A22" s="69">
        <v>2255496.6960100005</v>
      </c>
      <c r="B22" s="69">
        <v>1707938.5241999996</v>
      </c>
      <c r="C22" s="65">
        <v>309889.84749999997</v>
      </c>
      <c r="D22" s="65">
        <v>76710.963700000008</v>
      </c>
      <c r="E22" s="53" t="s">
        <v>260</v>
      </c>
    </row>
    <row r="23" spans="1:5">
      <c r="A23" s="90">
        <v>36814381.528530002</v>
      </c>
      <c r="B23" s="90">
        <v>17638280.470890008</v>
      </c>
      <c r="C23" s="91">
        <v>11347988.488789998</v>
      </c>
      <c r="D23" s="91">
        <v>2907857.0710800001</v>
      </c>
    </row>
    <row r="25" spans="1:5" ht="85">
      <c r="A25" t="s">
        <v>348</v>
      </c>
      <c r="B25" s="14" t="s">
        <v>349</v>
      </c>
      <c r="C25" s="14" t="s">
        <v>351</v>
      </c>
      <c r="D25" s="14" t="s">
        <v>350</v>
      </c>
    </row>
    <row r="26" spans="1:5">
      <c r="A26" s="53" t="s">
        <v>352</v>
      </c>
      <c r="B26">
        <f>B20/A20</f>
        <v>0.4963465252751777</v>
      </c>
      <c r="C26">
        <f>C20/A20</f>
        <v>0.26312288546320256</v>
      </c>
      <c r="D26">
        <f>D20/A20</f>
        <v>9.5221266145940092E-2</v>
      </c>
    </row>
    <row r="27" spans="1:5">
      <c r="A27" s="53" t="s">
        <v>353</v>
      </c>
      <c r="B27">
        <f>B21/A21</f>
        <v>0.37914613293000138</v>
      </c>
      <c r="C27">
        <f>C21/A21</f>
        <v>0.44952410957920008</v>
      </c>
      <c r="D27">
        <f>D21/A21</f>
        <v>5.1172449722761831E-2</v>
      </c>
    </row>
    <row r="28" spans="1:5">
      <c r="A28" s="53" t="s">
        <v>354</v>
      </c>
      <c r="B28">
        <f>B22/A22</f>
        <v>0.75723388432417682</v>
      </c>
      <c r="C28">
        <f>C22/A22</f>
        <v>0.13739317288657468</v>
      </c>
      <c r="D28">
        <f>D22/A22</f>
        <v>3.4010674383031722E-2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0AE68-C227-EE41-9E88-90FD80EFCAE7}">
  <dimension ref="A1:E109"/>
  <sheetViews>
    <sheetView workbookViewId="0">
      <selection activeCell="H80" sqref="H75:H80"/>
    </sheetView>
  </sheetViews>
  <sheetFormatPr baseColWidth="10" defaultRowHeight="16"/>
  <cols>
    <col min="1" max="1" width="12.6640625" customWidth="1"/>
  </cols>
  <sheetData>
    <row r="1" spans="1:5">
      <c r="A1" s="70" t="s">
        <v>315</v>
      </c>
      <c r="B1" s="73" t="s">
        <v>322</v>
      </c>
      <c r="C1" t="s">
        <v>327</v>
      </c>
      <c r="D1" t="s">
        <v>328</v>
      </c>
      <c r="E1" t="s">
        <v>330</v>
      </c>
    </row>
    <row r="2" spans="1:5">
      <c r="A2" s="15">
        <v>99.9</v>
      </c>
      <c r="B2" s="27" t="s">
        <v>24</v>
      </c>
      <c r="C2" s="1" t="s">
        <v>0</v>
      </c>
      <c r="D2" s="27" t="s">
        <v>259</v>
      </c>
      <c r="E2" s="77" t="s">
        <v>260</v>
      </c>
    </row>
    <row r="3" spans="1:5">
      <c r="A3" s="15">
        <v>4.9000000000000004</v>
      </c>
      <c r="B3" s="27" t="s">
        <v>323</v>
      </c>
      <c r="C3" s="1" t="s">
        <v>4</v>
      </c>
      <c r="D3" s="27" t="s">
        <v>259</v>
      </c>
      <c r="E3" s="78" t="s">
        <v>261</v>
      </c>
    </row>
    <row r="4" spans="1:5">
      <c r="A4" s="15">
        <v>99.9</v>
      </c>
      <c r="B4" s="27" t="s">
        <v>24</v>
      </c>
      <c r="C4" s="1" t="s">
        <v>9</v>
      </c>
      <c r="D4" s="27" t="s">
        <v>259</v>
      </c>
      <c r="E4" s="77" t="s">
        <v>260</v>
      </c>
    </row>
    <row r="5" spans="1:5">
      <c r="A5" s="15">
        <v>12.1</v>
      </c>
      <c r="B5" s="27" t="s">
        <v>24</v>
      </c>
      <c r="C5" s="1" t="s">
        <v>24</v>
      </c>
      <c r="D5" s="27" t="s">
        <v>259</v>
      </c>
      <c r="E5" s="78" t="s">
        <v>262</v>
      </c>
    </row>
    <row r="6" spans="1:5">
      <c r="A6" s="15">
        <v>99.9</v>
      </c>
      <c r="B6" s="27" t="s">
        <v>324</v>
      </c>
      <c r="C6" s="1" t="s">
        <v>27</v>
      </c>
      <c r="D6" s="27" t="s">
        <v>259</v>
      </c>
      <c r="E6" s="77" t="s">
        <v>260</v>
      </c>
    </row>
    <row r="7" spans="1:5">
      <c r="A7" s="15">
        <v>99.7</v>
      </c>
      <c r="B7" s="27" t="s">
        <v>324</v>
      </c>
      <c r="C7" s="1" t="s">
        <v>28</v>
      </c>
      <c r="D7" s="27" t="s">
        <v>259</v>
      </c>
      <c r="E7" s="78" t="s">
        <v>260</v>
      </c>
    </row>
    <row r="8" spans="1:5">
      <c r="A8" s="15">
        <v>99.9</v>
      </c>
      <c r="B8" s="27" t="s">
        <v>325</v>
      </c>
      <c r="C8" s="1" t="s">
        <v>30</v>
      </c>
      <c r="D8" s="27" t="s">
        <v>259</v>
      </c>
      <c r="E8" s="77" t="s">
        <v>260</v>
      </c>
    </row>
    <row r="9" spans="1:5">
      <c r="A9" s="15">
        <v>39.200000000000003</v>
      </c>
      <c r="B9" s="27" t="s">
        <v>34</v>
      </c>
      <c r="C9" s="1" t="s">
        <v>34</v>
      </c>
      <c r="D9" s="27" t="s">
        <v>259</v>
      </c>
      <c r="E9" s="78" t="s">
        <v>262</v>
      </c>
    </row>
    <row r="10" spans="1:5">
      <c r="A10" s="15">
        <v>99.8</v>
      </c>
      <c r="B10" s="27" t="s">
        <v>324</v>
      </c>
      <c r="C10" s="1" t="s">
        <v>37</v>
      </c>
      <c r="D10" s="27" t="s">
        <v>259</v>
      </c>
      <c r="E10" s="77" t="s">
        <v>260</v>
      </c>
    </row>
    <row r="11" spans="1:5">
      <c r="A11" s="15">
        <v>4.2</v>
      </c>
      <c r="B11" s="27" t="s">
        <v>325</v>
      </c>
      <c r="C11" s="1" t="s">
        <v>38</v>
      </c>
      <c r="D11" s="27" t="s">
        <v>259</v>
      </c>
      <c r="E11" s="78" t="s">
        <v>261</v>
      </c>
    </row>
    <row r="12" spans="1:5">
      <c r="A12" s="15">
        <v>29.4</v>
      </c>
      <c r="B12" s="27" t="s">
        <v>324</v>
      </c>
      <c r="C12" s="1" t="s">
        <v>39</v>
      </c>
      <c r="D12" s="27" t="s">
        <v>259</v>
      </c>
      <c r="E12" s="77" t="s">
        <v>262</v>
      </c>
    </row>
    <row r="13" spans="1:5">
      <c r="A13" s="15">
        <v>99.9</v>
      </c>
      <c r="B13" s="27" t="s">
        <v>325</v>
      </c>
      <c r="C13" s="1" t="s">
        <v>40</v>
      </c>
      <c r="D13" s="27" t="s">
        <v>259</v>
      </c>
      <c r="E13" s="78" t="s">
        <v>260</v>
      </c>
    </row>
    <row r="14" spans="1:5">
      <c r="A14" s="15">
        <v>22.6</v>
      </c>
      <c r="B14" s="27" t="s">
        <v>325</v>
      </c>
      <c r="C14" s="1" t="s">
        <v>45</v>
      </c>
      <c r="D14" s="27" t="s">
        <v>259</v>
      </c>
      <c r="E14" s="77" t="s">
        <v>262</v>
      </c>
    </row>
    <row r="15" spans="1:5">
      <c r="A15" s="15">
        <v>32.299999999999997</v>
      </c>
      <c r="B15" s="27" t="s">
        <v>325</v>
      </c>
      <c r="C15" s="1" t="s">
        <v>47</v>
      </c>
      <c r="D15" s="27" t="s">
        <v>259</v>
      </c>
      <c r="E15" s="78" t="s">
        <v>262</v>
      </c>
    </row>
    <row r="16" spans="1:5">
      <c r="A16" s="15">
        <v>99.7</v>
      </c>
      <c r="B16" s="27" t="s">
        <v>325</v>
      </c>
      <c r="C16" s="1" t="s">
        <v>49</v>
      </c>
      <c r="D16" s="27" t="s">
        <v>259</v>
      </c>
      <c r="E16" s="77" t="s">
        <v>260</v>
      </c>
    </row>
    <row r="17" spans="1:5">
      <c r="A17" s="15">
        <v>99.9</v>
      </c>
      <c r="B17" s="27" t="s">
        <v>325</v>
      </c>
      <c r="C17" s="1" t="s">
        <v>53</v>
      </c>
      <c r="D17" s="27" t="s">
        <v>259</v>
      </c>
      <c r="E17" s="78" t="s">
        <v>260</v>
      </c>
    </row>
    <row r="18" spans="1:5">
      <c r="A18" s="15">
        <v>32.4</v>
      </c>
      <c r="B18" s="27" t="s">
        <v>325</v>
      </c>
      <c r="C18" s="1" t="s">
        <v>54</v>
      </c>
      <c r="D18" s="27" t="s">
        <v>259</v>
      </c>
      <c r="E18" s="77" t="s">
        <v>262</v>
      </c>
    </row>
    <row r="19" spans="1:5">
      <c r="A19" s="15">
        <v>99.9</v>
      </c>
      <c r="B19" s="27" t="s">
        <v>325</v>
      </c>
      <c r="C19" s="1" t="s">
        <v>56</v>
      </c>
      <c r="D19" s="27" t="s">
        <v>259</v>
      </c>
      <c r="E19" s="78" t="s">
        <v>260</v>
      </c>
    </row>
    <row r="20" spans="1:5">
      <c r="A20" s="15">
        <v>99.8</v>
      </c>
      <c r="B20" s="27" t="s">
        <v>324</v>
      </c>
      <c r="C20" s="1" t="s">
        <v>60</v>
      </c>
      <c r="D20" s="27" t="s">
        <v>259</v>
      </c>
      <c r="E20" s="77" t="s">
        <v>260</v>
      </c>
    </row>
    <row r="21" spans="1:5">
      <c r="A21" s="15">
        <v>99.7</v>
      </c>
      <c r="B21" s="27" t="s">
        <v>323</v>
      </c>
      <c r="C21" s="1" t="s">
        <v>71</v>
      </c>
      <c r="D21" s="27" t="s">
        <v>259</v>
      </c>
      <c r="E21" s="79" t="s">
        <v>260</v>
      </c>
    </row>
    <row r="22" spans="1:5">
      <c r="A22" s="15">
        <v>24.8</v>
      </c>
      <c r="B22" s="27" t="s">
        <v>324</v>
      </c>
      <c r="C22" s="1" t="s">
        <v>73</v>
      </c>
      <c r="D22" s="27" t="s">
        <v>259</v>
      </c>
      <c r="E22" s="80" t="s">
        <v>262</v>
      </c>
    </row>
    <row r="23" spans="1:5">
      <c r="A23" s="15">
        <v>99.6</v>
      </c>
      <c r="B23" s="27" t="s">
        <v>325</v>
      </c>
      <c r="C23" s="1" t="s">
        <v>78</v>
      </c>
      <c r="D23" s="27" t="s">
        <v>259</v>
      </c>
      <c r="E23" s="78" t="s">
        <v>260</v>
      </c>
    </row>
    <row r="24" spans="1:5">
      <c r="A24" s="16">
        <v>4.8</v>
      </c>
      <c r="B24" s="28" t="s">
        <v>326</v>
      </c>
      <c r="C24" s="75" t="s">
        <v>79</v>
      </c>
      <c r="D24" s="28" t="s">
        <v>259</v>
      </c>
      <c r="E24" s="77" t="s">
        <v>262</v>
      </c>
    </row>
    <row r="25" spans="1:5">
      <c r="A25" s="15">
        <v>99</v>
      </c>
      <c r="B25" s="27" t="s">
        <v>34</v>
      </c>
      <c r="C25" s="3" t="s">
        <v>80</v>
      </c>
      <c r="D25" s="27" t="s">
        <v>263</v>
      </c>
      <c r="E25" s="78" t="s">
        <v>260</v>
      </c>
    </row>
    <row r="26" spans="1:5">
      <c r="A26" s="15">
        <v>99.8</v>
      </c>
      <c r="B26" s="27" t="s">
        <v>325</v>
      </c>
      <c r="C26" s="3" t="s">
        <v>81</v>
      </c>
      <c r="D26" s="27" t="s">
        <v>263</v>
      </c>
      <c r="E26" s="77" t="s">
        <v>260</v>
      </c>
    </row>
    <row r="27" spans="1:5">
      <c r="A27" s="15">
        <v>99.9</v>
      </c>
      <c r="B27" s="27" t="s">
        <v>325</v>
      </c>
      <c r="C27" s="3" t="s">
        <v>85</v>
      </c>
      <c r="D27" s="27" t="s">
        <v>263</v>
      </c>
      <c r="E27" s="78" t="s">
        <v>260</v>
      </c>
    </row>
    <row r="28" spans="1:5">
      <c r="A28" s="15">
        <v>99.9</v>
      </c>
      <c r="B28" s="27" t="s">
        <v>325</v>
      </c>
      <c r="C28" s="3" t="s">
        <v>89</v>
      </c>
      <c r="D28" s="27" t="s">
        <v>263</v>
      </c>
      <c r="E28" s="77" t="s">
        <v>260</v>
      </c>
    </row>
    <row r="29" spans="1:5">
      <c r="A29" s="15">
        <v>99.9</v>
      </c>
      <c r="B29" s="27" t="s">
        <v>325</v>
      </c>
      <c r="C29" s="3" t="s">
        <v>91</v>
      </c>
      <c r="D29" s="27" t="s">
        <v>263</v>
      </c>
      <c r="E29" s="78" t="s">
        <v>260</v>
      </c>
    </row>
    <row r="30" spans="1:5">
      <c r="A30" s="15">
        <v>100</v>
      </c>
      <c r="B30" s="27" t="s">
        <v>325</v>
      </c>
      <c r="C30" s="3" t="s">
        <v>92</v>
      </c>
      <c r="D30" s="27" t="s">
        <v>263</v>
      </c>
      <c r="E30" s="77" t="s">
        <v>260</v>
      </c>
    </row>
    <row r="31" spans="1:5">
      <c r="A31" s="15">
        <v>100</v>
      </c>
      <c r="B31" s="27" t="s">
        <v>325</v>
      </c>
      <c r="C31" s="3" t="s">
        <v>93</v>
      </c>
      <c r="D31" s="27" t="s">
        <v>263</v>
      </c>
      <c r="E31" s="78" t="s">
        <v>260</v>
      </c>
    </row>
    <row r="32" spans="1:5">
      <c r="A32" s="15">
        <v>100</v>
      </c>
      <c r="B32" s="27" t="s">
        <v>325</v>
      </c>
      <c r="C32" s="3" t="s">
        <v>96</v>
      </c>
      <c r="D32" s="27" t="s">
        <v>263</v>
      </c>
      <c r="E32" s="77" t="s">
        <v>260</v>
      </c>
    </row>
    <row r="33" spans="1:5">
      <c r="A33" s="15">
        <v>100</v>
      </c>
      <c r="B33" s="27" t="s">
        <v>24</v>
      </c>
      <c r="C33" s="3" t="s">
        <v>100</v>
      </c>
      <c r="D33" s="27" t="s">
        <v>263</v>
      </c>
      <c r="E33" s="78" t="s">
        <v>260</v>
      </c>
    </row>
    <row r="34" spans="1:5">
      <c r="A34" s="15">
        <v>99.8</v>
      </c>
      <c r="B34" s="27" t="s">
        <v>325</v>
      </c>
      <c r="C34" s="3" t="s">
        <v>101</v>
      </c>
      <c r="D34" s="27" t="s">
        <v>263</v>
      </c>
      <c r="E34" s="77" t="s">
        <v>260</v>
      </c>
    </row>
    <row r="35" spans="1:5">
      <c r="A35" s="15">
        <v>99.8</v>
      </c>
      <c r="B35" s="27" t="s">
        <v>325</v>
      </c>
      <c r="C35" s="3" t="s">
        <v>102</v>
      </c>
      <c r="D35" s="27" t="s">
        <v>263</v>
      </c>
      <c r="E35" s="78" t="s">
        <v>260</v>
      </c>
    </row>
    <row r="36" spans="1:5">
      <c r="A36" s="15">
        <v>99.8</v>
      </c>
      <c r="B36" s="27" t="s">
        <v>325</v>
      </c>
      <c r="C36" s="3" t="s">
        <v>104</v>
      </c>
      <c r="D36" s="27" t="s">
        <v>263</v>
      </c>
      <c r="E36" s="77" t="s">
        <v>260</v>
      </c>
    </row>
    <row r="37" spans="1:5">
      <c r="A37" s="15">
        <v>100</v>
      </c>
      <c r="B37" s="27" t="s">
        <v>325</v>
      </c>
      <c r="C37" s="3" t="s">
        <v>106</v>
      </c>
      <c r="D37" s="27" t="s">
        <v>263</v>
      </c>
      <c r="E37" s="78" t="s">
        <v>260</v>
      </c>
    </row>
    <row r="38" spans="1:5">
      <c r="A38" s="15">
        <v>98.6</v>
      </c>
      <c r="B38" s="27" t="s">
        <v>324</v>
      </c>
      <c r="C38" s="3" t="s">
        <v>107</v>
      </c>
      <c r="D38" s="27" t="s">
        <v>263</v>
      </c>
      <c r="E38" s="77" t="s">
        <v>260</v>
      </c>
    </row>
    <row r="39" spans="1:5">
      <c r="A39" s="15">
        <v>99.9</v>
      </c>
      <c r="B39" s="27" t="s">
        <v>24</v>
      </c>
      <c r="C39" s="3" t="s">
        <v>110</v>
      </c>
      <c r="D39" s="27" t="s">
        <v>263</v>
      </c>
      <c r="E39" s="78" t="s">
        <v>261</v>
      </c>
    </row>
    <row r="40" spans="1:5">
      <c r="A40" s="15">
        <v>98.5</v>
      </c>
      <c r="B40" s="27" t="s">
        <v>325</v>
      </c>
      <c r="C40" s="3" t="s">
        <v>111</v>
      </c>
      <c r="D40" s="27" t="s">
        <v>263</v>
      </c>
      <c r="E40" s="77" t="s">
        <v>261</v>
      </c>
    </row>
    <row r="41" spans="1:5">
      <c r="A41" s="15">
        <v>99.9</v>
      </c>
      <c r="B41" s="27" t="s">
        <v>24</v>
      </c>
      <c r="C41" s="3" t="s">
        <v>112</v>
      </c>
      <c r="D41" s="27" t="s">
        <v>263</v>
      </c>
      <c r="E41" s="78" t="s">
        <v>261</v>
      </c>
    </row>
    <row r="42" spans="1:5">
      <c r="A42" s="15">
        <v>99.6</v>
      </c>
      <c r="B42" s="27" t="s">
        <v>24</v>
      </c>
      <c r="C42" s="3" t="s">
        <v>113</v>
      </c>
      <c r="D42" s="27" t="s">
        <v>263</v>
      </c>
      <c r="E42" s="77" t="s">
        <v>260</v>
      </c>
    </row>
    <row r="43" spans="1:5">
      <c r="A43" s="15">
        <v>99.8</v>
      </c>
      <c r="B43" s="27" t="s">
        <v>325</v>
      </c>
      <c r="C43" s="3" t="s">
        <v>114</v>
      </c>
      <c r="D43" s="27" t="s">
        <v>263</v>
      </c>
      <c r="E43" s="78" t="s">
        <v>260</v>
      </c>
    </row>
    <row r="44" spans="1:5">
      <c r="A44" s="15">
        <v>100</v>
      </c>
      <c r="B44" s="27" t="s">
        <v>325</v>
      </c>
      <c r="C44" s="3" t="s">
        <v>115</v>
      </c>
      <c r="D44" s="27" t="s">
        <v>263</v>
      </c>
      <c r="E44" s="77" t="s">
        <v>260</v>
      </c>
    </row>
    <row r="45" spans="1:5">
      <c r="A45" s="15">
        <v>99.9</v>
      </c>
      <c r="B45" s="27" t="s">
        <v>325</v>
      </c>
      <c r="C45" s="3" t="s">
        <v>116</v>
      </c>
      <c r="D45" s="27" t="s">
        <v>263</v>
      </c>
      <c r="E45" s="78" t="s">
        <v>260</v>
      </c>
    </row>
    <row r="46" spans="1:5">
      <c r="A46" s="15">
        <v>99.9</v>
      </c>
      <c r="B46" s="27" t="s">
        <v>324</v>
      </c>
      <c r="C46" s="3" t="s">
        <v>119</v>
      </c>
      <c r="D46" s="27" t="s">
        <v>263</v>
      </c>
      <c r="E46" s="77" t="s">
        <v>260</v>
      </c>
    </row>
    <row r="47" spans="1:5">
      <c r="A47" s="15">
        <v>99.7</v>
      </c>
      <c r="B47" s="27" t="s">
        <v>325</v>
      </c>
      <c r="C47" s="3" t="s">
        <v>120</v>
      </c>
      <c r="D47" s="27" t="s">
        <v>263</v>
      </c>
      <c r="E47" s="78" t="s">
        <v>260</v>
      </c>
    </row>
    <row r="48" spans="1:5">
      <c r="A48" s="15">
        <v>99.9</v>
      </c>
      <c r="B48" s="27" t="s">
        <v>323</v>
      </c>
      <c r="C48" s="3" t="s">
        <v>121</v>
      </c>
      <c r="D48" s="27" t="s">
        <v>263</v>
      </c>
      <c r="E48" s="77" t="s">
        <v>260</v>
      </c>
    </row>
    <row r="49" spans="1:5">
      <c r="A49" s="15">
        <v>100</v>
      </c>
      <c r="B49" s="27" t="s">
        <v>325</v>
      </c>
      <c r="C49" s="3" t="s">
        <v>122</v>
      </c>
      <c r="D49" s="27" t="s">
        <v>263</v>
      </c>
      <c r="E49" s="78" t="s">
        <v>260</v>
      </c>
    </row>
    <row r="50" spans="1:5">
      <c r="A50" s="15">
        <v>99.9</v>
      </c>
      <c r="B50" s="27" t="s">
        <v>325</v>
      </c>
      <c r="C50" s="3" t="s">
        <v>124</v>
      </c>
      <c r="D50" s="27" t="s">
        <v>263</v>
      </c>
      <c r="E50" s="81" t="s">
        <v>260</v>
      </c>
    </row>
    <row r="51" spans="1:5">
      <c r="A51" s="15">
        <v>100</v>
      </c>
      <c r="B51" s="27" t="s">
        <v>325</v>
      </c>
      <c r="C51" s="3" t="s">
        <v>125</v>
      </c>
      <c r="D51" s="27" t="s">
        <v>263</v>
      </c>
      <c r="E51" s="78" t="s">
        <v>260</v>
      </c>
    </row>
    <row r="52" spans="1:5">
      <c r="A52" s="15">
        <v>100</v>
      </c>
      <c r="B52" s="27" t="s">
        <v>325</v>
      </c>
      <c r="C52" s="3" t="s">
        <v>126</v>
      </c>
      <c r="D52" s="27" t="s">
        <v>263</v>
      </c>
      <c r="E52" s="77" t="s">
        <v>260</v>
      </c>
    </row>
    <row r="53" spans="1:5">
      <c r="A53" s="15">
        <v>100</v>
      </c>
      <c r="B53" s="27" t="s">
        <v>325</v>
      </c>
      <c r="C53" s="3" t="s">
        <v>129</v>
      </c>
      <c r="D53" s="27" t="s">
        <v>263</v>
      </c>
      <c r="E53" s="78" t="s">
        <v>260</v>
      </c>
    </row>
    <row r="54" spans="1:5">
      <c r="A54" s="15">
        <v>99.6</v>
      </c>
      <c r="B54" s="27" t="s">
        <v>325</v>
      </c>
      <c r="C54" s="3" t="s">
        <v>131</v>
      </c>
      <c r="D54" s="27" t="s">
        <v>263</v>
      </c>
      <c r="E54" s="77" t="s">
        <v>260</v>
      </c>
    </row>
    <row r="55" spans="1:5">
      <c r="A55" s="15">
        <v>99.9</v>
      </c>
      <c r="B55" s="27" t="s">
        <v>325</v>
      </c>
      <c r="C55" s="3" t="s">
        <v>132</v>
      </c>
      <c r="D55" s="27" t="s">
        <v>263</v>
      </c>
      <c r="E55" s="78" t="s">
        <v>260</v>
      </c>
    </row>
    <row r="56" spans="1:5">
      <c r="A56" s="15">
        <v>99.9</v>
      </c>
      <c r="B56" s="27" t="s">
        <v>325</v>
      </c>
      <c r="C56" s="3" t="s">
        <v>133</v>
      </c>
      <c r="D56" s="27" t="s">
        <v>263</v>
      </c>
      <c r="E56" s="77" t="s">
        <v>260</v>
      </c>
    </row>
    <row r="57" spans="1:5">
      <c r="A57" s="15">
        <v>99.9</v>
      </c>
      <c r="B57" s="27" t="s">
        <v>323</v>
      </c>
      <c r="C57" s="3" t="s">
        <v>135</v>
      </c>
      <c r="D57" s="27" t="s">
        <v>263</v>
      </c>
      <c r="E57" s="78" t="s">
        <v>260</v>
      </c>
    </row>
    <row r="58" spans="1:5">
      <c r="A58" s="15">
        <v>100</v>
      </c>
      <c r="B58" s="27" t="s">
        <v>325</v>
      </c>
      <c r="C58" s="3" t="s">
        <v>136</v>
      </c>
      <c r="D58" s="27" t="s">
        <v>263</v>
      </c>
      <c r="E58" s="77" t="s">
        <v>260</v>
      </c>
    </row>
    <row r="59" spans="1:5">
      <c r="A59" s="15">
        <v>99.7</v>
      </c>
      <c r="B59" s="27" t="s">
        <v>325</v>
      </c>
      <c r="C59" s="3" t="s">
        <v>137</v>
      </c>
      <c r="D59" s="27" t="s">
        <v>263</v>
      </c>
      <c r="E59" s="78" t="s">
        <v>260</v>
      </c>
    </row>
    <row r="60" spans="1:5">
      <c r="A60" s="15">
        <v>99.9</v>
      </c>
      <c r="B60" s="27" t="s">
        <v>324</v>
      </c>
      <c r="C60" s="3" t="s">
        <v>138</v>
      </c>
      <c r="D60" s="27" t="s">
        <v>263</v>
      </c>
      <c r="E60" s="77" t="s">
        <v>260</v>
      </c>
    </row>
    <row r="61" spans="1:5">
      <c r="A61" s="15">
        <v>4.2</v>
      </c>
      <c r="B61" s="27" t="s">
        <v>325</v>
      </c>
      <c r="C61" s="3" t="s">
        <v>139</v>
      </c>
      <c r="D61" s="27" t="s">
        <v>263</v>
      </c>
      <c r="E61" s="78" t="s">
        <v>261</v>
      </c>
    </row>
    <row r="62" spans="1:5">
      <c r="A62" s="15">
        <v>99.8</v>
      </c>
      <c r="B62" s="27" t="s">
        <v>325</v>
      </c>
      <c r="C62" s="3" t="s">
        <v>140</v>
      </c>
      <c r="D62" s="27" t="s">
        <v>263</v>
      </c>
      <c r="E62" s="77" t="s">
        <v>260</v>
      </c>
    </row>
    <row r="63" spans="1:5">
      <c r="A63" s="15">
        <v>99.5</v>
      </c>
      <c r="B63" s="27" t="s">
        <v>325</v>
      </c>
      <c r="C63" s="3" t="s">
        <v>141</v>
      </c>
      <c r="D63" s="27" t="s">
        <v>263</v>
      </c>
      <c r="E63" s="78" t="s">
        <v>260</v>
      </c>
    </row>
    <row r="64" spans="1:5">
      <c r="A64" s="15">
        <v>99.9</v>
      </c>
      <c r="B64" s="27" t="s">
        <v>325</v>
      </c>
      <c r="C64" s="3" t="s">
        <v>142</v>
      </c>
      <c r="D64" s="27" t="s">
        <v>263</v>
      </c>
      <c r="E64" s="77" t="s">
        <v>260</v>
      </c>
    </row>
    <row r="65" spans="1:5">
      <c r="A65" s="15">
        <v>100</v>
      </c>
      <c r="B65" s="27" t="s">
        <v>325</v>
      </c>
      <c r="C65" s="3" t="s">
        <v>143</v>
      </c>
      <c r="D65" s="27" t="s">
        <v>263</v>
      </c>
      <c r="E65" s="78" t="s">
        <v>260</v>
      </c>
    </row>
    <row r="66" spans="1:5">
      <c r="A66" s="15">
        <v>99.9</v>
      </c>
      <c r="B66" s="27" t="s">
        <v>24</v>
      </c>
      <c r="C66" s="3" t="s">
        <v>144</v>
      </c>
      <c r="D66" s="27" t="s">
        <v>263</v>
      </c>
      <c r="E66" s="77" t="s">
        <v>260</v>
      </c>
    </row>
    <row r="67" spans="1:5">
      <c r="A67" s="15">
        <v>4.4000000000000004</v>
      </c>
      <c r="B67" s="27" t="s">
        <v>323</v>
      </c>
      <c r="C67" s="3" t="s">
        <v>147</v>
      </c>
      <c r="D67" s="27" t="s">
        <v>263</v>
      </c>
      <c r="E67" s="78" t="s">
        <v>261</v>
      </c>
    </row>
    <row r="68" spans="1:5">
      <c r="A68" s="15">
        <v>99.9</v>
      </c>
      <c r="B68" s="27" t="s">
        <v>323</v>
      </c>
      <c r="C68" s="3" t="s">
        <v>148</v>
      </c>
      <c r="D68" s="27" t="s">
        <v>263</v>
      </c>
      <c r="E68" s="77" t="s">
        <v>260</v>
      </c>
    </row>
    <row r="69" spans="1:5">
      <c r="A69" s="15">
        <v>99.9</v>
      </c>
      <c r="B69" s="27" t="s">
        <v>325</v>
      </c>
      <c r="C69" s="3" t="s">
        <v>150</v>
      </c>
      <c r="D69" s="27" t="s">
        <v>263</v>
      </c>
      <c r="E69" s="78" t="s">
        <v>260</v>
      </c>
    </row>
    <row r="70" spans="1:5">
      <c r="A70" s="15">
        <v>100</v>
      </c>
      <c r="B70" s="27" t="s">
        <v>325</v>
      </c>
      <c r="C70" s="3" t="s">
        <v>152</v>
      </c>
      <c r="D70" s="27" t="s">
        <v>263</v>
      </c>
      <c r="E70" s="77" t="s">
        <v>261</v>
      </c>
    </row>
    <row r="71" spans="1:5">
      <c r="A71" s="15">
        <v>99.7</v>
      </c>
      <c r="B71" s="27" t="s">
        <v>325</v>
      </c>
      <c r="C71" s="3" t="s">
        <v>154</v>
      </c>
      <c r="D71" s="27" t="s">
        <v>263</v>
      </c>
      <c r="E71" s="78" t="s">
        <v>260</v>
      </c>
    </row>
    <row r="72" spans="1:5">
      <c r="A72" s="15">
        <v>99.9</v>
      </c>
      <c r="B72" s="27" t="s">
        <v>325</v>
      </c>
      <c r="C72" s="3" t="s">
        <v>157</v>
      </c>
      <c r="D72" s="27" t="s">
        <v>263</v>
      </c>
      <c r="E72" s="77" t="s">
        <v>260</v>
      </c>
    </row>
    <row r="73" spans="1:5">
      <c r="A73" s="15">
        <v>97.5</v>
      </c>
      <c r="B73" s="27" t="s">
        <v>325</v>
      </c>
      <c r="C73" s="3" t="s">
        <v>158</v>
      </c>
      <c r="D73" s="27" t="s">
        <v>263</v>
      </c>
      <c r="E73" s="78" t="s">
        <v>260</v>
      </c>
    </row>
    <row r="74" spans="1:5">
      <c r="A74" s="15">
        <v>100</v>
      </c>
      <c r="B74" s="27" t="s">
        <v>24</v>
      </c>
      <c r="C74" s="3" t="s">
        <v>160</v>
      </c>
      <c r="D74" s="27" t="s">
        <v>263</v>
      </c>
      <c r="E74" s="77" t="s">
        <v>260</v>
      </c>
    </row>
    <row r="75" spans="1:5">
      <c r="A75" s="15">
        <v>4.0999999999999996</v>
      </c>
      <c r="B75" s="27" t="s">
        <v>323</v>
      </c>
      <c r="C75" s="3" t="s">
        <v>161</v>
      </c>
      <c r="D75" s="27" t="s">
        <v>263</v>
      </c>
      <c r="E75" s="78" t="s">
        <v>261</v>
      </c>
    </row>
    <row r="76" spans="1:5">
      <c r="A76" s="15">
        <v>100</v>
      </c>
      <c r="B76" s="27" t="s">
        <v>325</v>
      </c>
      <c r="C76" s="3" t="s">
        <v>162</v>
      </c>
      <c r="D76" s="27" t="s">
        <v>263</v>
      </c>
      <c r="E76" s="77" t="s">
        <v>260</v>
      </c>
    </row>
    <row r="77" spans="1:5">
      <c r="A77" s="15">
        <v>99.8</v>
      </c>
      <c r="B77" s="27" t="s">
        <v>325</v>
      </c>
      <c r="C77" s="3" t="s">
        <v>163</v>
      </c>
      <c r="D77" s="27" t="s">
        <v>263</v>
      </c>
      <c r="E77" s="78" t="s">
        <v>260</v>
      </c>
    </row>
    <row r="78" spans="1:5">
      <c r="A78" s="15">
        <v>100</v>
      </c>
      <c r="B78" s="27" t="s">
        <v>325</v>
      </c>
      <c r="C78" s="3" t="s">
        <v>164</v>
      </c>
      <c r="D78" s="27" t="s">
        <v>263</v>
      </c>
      <c r="E78" s="77" t="s">
        <v>260</v>
      </c>
    </row>
    <row r="79" spans="1:5">
      <c r="A79" s="15">
        <v>99.9</v>
      </c>
      <c r="B79" s="27" t="s">
        <v>325</v>
      </c>
      <c r="C79" s="3" t="s">
        <v>166</v>
      </c>
      <c r="D79" s="27" t="s">
        <v>263</v>
      </c>
      <c r="E79" s="78" t="s">
        <v>260</v>
      </c>
    </row>
    <row r="80" spans="1:5">
      <c r="A80" s="15">
        <v>99.5</v>
      </c>
      <c r="B80" s="27" t="s">
        <v>325</v>
      </c>
      <c r="C80" s="3" t="s">
        <v>168</v>
      </c>
      <c r="D80" s="27" t="s">
        <v>263</v>
      </c>
      <c r="E80" s="77" t="s">
        <v>260</v>
      </c>
    </row>
    <row r="81" spans="1:5">
      <c r="A81" s="15">
        <v>100</v>
      </c>
      <c r="B81" s="27" t="s">
        <v>325</v>
      </c>
      <c r="C81" s="3" t="s">
        <v>169</v>
      </c>
      <c r="D81" s="27" t="s">
        <v>263</v>
      </c>
      <c r="E81" s="78" t="s">
        <v>260</v>
      </c>
    </row>
    <row r="82" spans="1:5">
      <c r="A82" s="15">
        <v>99.9</v>
      </c>
      <c r="B82" s="27" t="s">
        <v>325</v>
      </c>
      <c r="C82" s="3" t="s">
        <v>170</v>
      </c>
      <c r="D82" s="27" t="s">
        <v>263</v>
      </c>
      <c r="E82" s="77" t="s">
        <v>260</v>
      </c>
    </row>
    <row r="83" spans="1:5">
      <c r="A83" s="15">
        <v>100</v>
      </c>
      <c r="B83" s="27" t="s">
        <v>325</v>
      </c>
      <c r="C83" s="3" t="s">
        <v>171</v>
      </c>
      <c r="D83" s="27" t="s">
        <v>263</v>
      </c>
      <c r="E83" s="78" t="s">
        <v>260</v>
      </c>
    </row>
    <row r="84" spans="1:5">
      <c r="A84" s="15">
        <v>98.1</v>
      </c>
      <c r="B84" s="27" t="s">
        <v>24</v>
      </c>
      <c r="C84" s="3" t="s">
        <v>173</v>
      </c>
      <c r="D84" s="27" t="s">
        <v>263</v>
      </c>
      <c r="E84" s="77" t="s">
        <v>260</v>
      </c>
    </row>
    <row r="85" spans="1:5">
      <c r="A85" s="15">
        <v>99.8</v>
      </c>
      <c r="B85" s="27" t="s">
        <v>24</v>
      </c>
      <c r="C85" s="3" t="s">
        <v>174</v>
      </c>
      <c r="D85" s="27" t="s">
        <v>263</v>
      </c>
      <c r="E85" s="78" t="s">
        <v>260</v>
      </c>
    </row>
    <row r="86" spans="1:5">
      <c r="A86" s="15">
        <v>99.9</v>
      </c>
      <c r="B86" s="27" t="s">
        <v>323</v>
      </c>
      <c r="C86" s="3" t="s">
        <v>175</v>
      </c>
      <c r="D86" s="27" t="s">
        <v>263</v>
      </c>
      <c r="E86" s="77" t="s">
        <v>260</v>
      </c>
    </row>
    <row r="87" spans="1:5">
      <c r="A87" s="15">
        <v>99.9</v>
      </c>
      <c r="B87" s="27" t="s">
        <v>24</v>
      </c>
      <c r="C87" s="3" t="s">
        <v>176</v>
      </c>
      <c r="D87" s="27" t="s">
        <v>263</v>
      </c>
      <c r="E87" s="78" t="s">
        <v>260</v>
      </c>
    </row>
    <row r="88" spans="1:5">
      <c r="A88" s="15">
        <v>99.7</v>
      </c>
      <c r="B88" s="27" t="s">
        <v>325</v>
      </c>
      <c r="C88" s="3" t="s">
        <v>177</v>
      </c>
      <c r="D88" s="27" t="s">
        <v>263</v>
      </c>
      <c r="E88" s="77" t="s">
        <v>260</v>
      </c>
    </row>
    <row r="89" spans="1:5">
      <c r="A89" s="15">
        <v>100</v>
      </c>
      <c r="B89" s="27" t="s">
        <v>325</v>
      </c>
      <c r="C89" s="3" t="s">
        <v>178</v>
      </c>
      <c r="D89" s="27" t="s">
        <v>263</v>
      </c>
      <c r="E89" s="78" t="s">
        <v>260</v>
      </c>
    </row>
    <row r="90" spans="1:5">
      <c r="A90" s="15">
        <v>99.8</v>
      </c>
      <c r="B90" s="27" t="s">
        <v>325</v>
      </c>
      <c r="C90" s="3" t="s">
        <v>189</v>
      </c>
      <c r="D90" s="27" t="s">
        <v>263</v>
      </c>
      <c r="E90" s="77" t="s">
        <v>260</v>
      </c>
    </row>
    <row r="91" spans="1:5">
      <c r="A91" s="15">
        <v>99.9</v>
      </c>
      <c r="B91" s="27" t="s">
        <v>325</v>
      </c>
      <c r="C91" s="3" t="s">
        <v>191</v>
      </c>
      <c r="D91" s="27" t="s">
        <v>263</v>
      </c>
      <c r="E91" s="78" t="s">
        <v>260</v>
      </c>
    </row>
    <row r="92" spans="1:5">
      <c r="A92" s="15">
        <v>99.9</v>
      </c>
      <c r="B92" s="27" t="s">
        <v>325</v>
      </c>
      <c r="C92" s="3" t="s">
        <v>194</v>
      </c>
      <c r="D92" s="27" t="s">
        <v>263</v>
      </c>
      <c r="E92" s="77" t="s">
        <v>260</v>
      </c>
    </row>
    <row r="93" spans="1:5">
      <c r="A93" s="15">
        <v>99.9</v>
      </c>
      <c r="B93" s="27" t="s">
        <v>323</v>
      </c>
      <c r="C93" s="3" t="s">
        <v>195</v>
      </c>
      <c r="D93" s="27" t="s">
        <v>263</v>
      </c>
      <c r="E93" s="78" t="s">
        <v>260</v>
      </c>
    </row>
    <row r="94" spans="1:5">
      <c r="A94" s="15">
        <v>100</v>
      </c>
      <c r="B94" s="27" t="s">
        <v>325</v>
      </c>
      <c r="C94" s="3" t="s">
        <v>198</v>
      </c>
      <c r="D94" s="27" t="s">
        <v>263</v>
      </c>
      <c r="E94" s="77" t="s">
        <v>260</v>
      </c>
    </row>
    <row r="95" spans="1:5">
      <c r="A95" s="16">
        <v>99.8</v>
      </c>
      <c r="B95" s="28" t="s">
        <v>323</v>
      </c>
      <c r="C95" s="76" t="s">
        <v>201</v>
      </c>
      <c r="D95" s="28" t="s">
        <v>263</v>
      </c>
      <c r="E95" s="78" t="s">
        <v>260</v>
      </c>
    </row>
    <row r="96" spans="1:5">
      <c r="A96" s="15">
        <v>99.6</v>
      </c>
      <c r="B96" s="74" t="s">
        <v>323</v>
      </c>
      <c r="C96" s="5" t="s">
        <v>202</v>
      </c>
      <c r="D96" s="74" t="s">
        <v>264</v>
      </c>
      <c r="E96" s="77" t="s">
        <v>260</v>
      </c>
    </row>
    <row r="97" spans="1:5">
      <c r="A97" s="15">
        <v>99.9</v>
      </c>
      <c r="B97" s="74" t="s">
        <v>325</v>
      </c>
      <c r="C97" s="5" t="s">
        <v>203</v>
      </c>
      <c r="D97" s="74" t="s">
        <v>264</v>
      </c>
      <c r="E97" s="78" t="s">
        <v>260</v>
      </c>
    </row>
    <row r="98" spans="1:5">
      <c r="A98" s="15">
        <v>99.9</v>
      </c>
      <c r="B98" s="74" t="s">
        <v>325</v>
      </c>
      <c r="C98" s="5" t="s">
        <v>207</v>
      </c>
      <c r="D98" s="74" t="s">
        <v>264</v>
      </c>
      <c r="E98" s="77" t="s">
        <v>260</v>
      </c>
    </row>
    <row r="99" spans="1:5">
      <c r="A99" s="15">
        <v>38.1</v>
      </c>
      <c r="B99" s="74" t="s">
        <v>325</v>
      </c>
      <c r="C99" s="5" t="s">
        <v>216</v>
      </c>
      <c r="D99" s="74" t="s">
        <v>264</v>
      </c>
      <c r="E99" s="78" t="s">
        <v>261</v>
      </c>
    </row>
    <row r="100" spans="1:5">
      <c r="A100" s="15">
        <v>32.299999999999997</v>
      </c>
      <c r="B100" s="74" t="s">
        <v>24</v>
      </c>
      <c r="C100" s="5" t="s">
        <v>221</v>
      </c>
      <c r="D100" s="74" t="s">
        <v>264</v>
      </c>
      <c r="E100" s="77" t="s">
        <v>261</v>
      </c>
    </row>
    <row r="101" spans="1:5">
      <c r="A101" s="15">
        <v>4.3</v>
      </c>
      <c r="B101" s="74" t="s">
        <v>324</v>
      </c>
      <c r="C101" s="5" t="s">
        <v>227</v>
      </c>
      <c r="D101" s="74" t="s">
        <v>264</v>
      </c>
      <c r="E101" s="78" t="s">
        <v>261</v>
      </c>
    </row>
    <row r="102" spans="1:5">
      <c r="A102" s="15">
        <v>15.4</v>
      </c>
      <c r="B102" s="74" t="s">
        <v>325</v>
      </c>
      <c r="C102" s="5" t="s">
        <v>234</v>
      </c>
      <c r="D102" s="74" t="s">
        <v>264</v>
      </c>
      <c r="E102" s="77" t="s">
        <v>261</v>
      </c>
    </row>
    <row r="103" spans="1:5">
      <c r="A103" s="15">
        <v>8.6999999999999993</v>
      </c>
      <c r="B103" s="74" t="s">
        <v>34</v>
      </c>
      <c r="C103" s="5" t="s">
        <v>236</v>
      </c>
      <c r="D103" s="74" t="s">
        <v>264</v>
      </c>
      <c r="E103" s="78" t="s">
        <v>261</v>
      </c>
    </row>
    <row r="104" spans="1:5">
      <c r="A104" s="15">
        <v>16.7</v>
      </c>
      <c r="B104" s="74" t="s">
        <v>24</v>
      </c>
      <c r="C104" s="5" t="s">
        <v>237</v>
      </c>
      <c r="D104" s="74" t="s">
        <v>264</v>
      </c>
      <c r="E104" s="77" t="s">
        <v>261</v>
      </c>
    </row>
    <row r="105" spans="1:5">
      <c r="A105" s="15">
        <v>17.399999999999999</v>
      </c>
      <c r="B105" s="74" t="s">
        <v>325</v>
      </c>
      <c r="C105" s="5" t="s">
        <v>239</v>
      </c>
      <c r="D105" s="74" t="s">
        <v>264</v>
      </c>
      <c r="E105" s="78" t="s">
        <v>261</v>
      </c>
    </row>
    <row r="106" spans="1:5">
      <c r="A106" s="15">
        <v>26.4</v>
      </c>
      <c r="B106" s="74" t="s">
        <v>325</v>
      </c>
      <c r="C106" s="5" t="s">
        <v>241</v>
      </c>
      <c r="D106" s="74" t="s">
        <v>264</v>
      </c>
      <c r="E106" s="77" t="s">
        <v>261</v>
      </c>
    </row>
    <row r="107" spans="1:5">
      <c r="A107" s="15">
        <v>99.7</v>
      </c>
      <c r="B107" s="74" t="s">
        <v>323</v>
      </c>
      <c r="C107" s="5" t="s">
        <v>242</v>
      </c>
      <c r="D107" s="74" t="s">
        <v>264</v>
      </c>
      <c r="E107" s="78" t="s">
        <v>260</v>
      </c>
    </row>
    <row r="108" spans="1:5">
      <c r="A108" s="15">
        <v>4.9000000000000004</v>
      </c>
      <c r="B108" s="74" t="s">
        <v>325</v>
      </c>
      <c r="C108" s="5" t="s">
        <v>247</v>
      </c>
      <c r="D108" s="74" t="s">
        <v>264</v>
      </c>
      <c r="E108" s="77" t="s">
        <v>261</v>
      </c>
    </row>
    <row r="109" spans="1:5">
      <c r="A109" s="15">
        <v>5.8</v>
      </c>
      <c r="B109" s="74" t="s">
        <v>323</v>
      </c>
      <c r="C109" s="5" t="s">
        <v>249</v>
      </c>
      <c r="D109" s="74" t="s">
        <v>264</v>
      </c>
      <c r="E109" s="78" t="s">
        <v>261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מגורים תושבים ערבים</vt:lpstr>
      <vt:lpstr>עיבודים</vt:lpstr>
      <vt:lpstr>מדד פריפריאלי</vt:lpstr>
      <vt:lpstr>חברתי כלכלי 21</vt:lpstr>
      <vt:lpstr>דאטה מקובץ הלמ״ס</vt:lpstr>
      <vt:lpstr>ארנונה</vt:lpstr>
      <vt:lpstr>תושבים ערבים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 Krauz</dc:creator>
  <cp:lastModifiedBy>Lior Krauz</cp:lastModifiedBy>
  <dcterms:created xsi:type="dcterms:W3CDTF">2025-01-23T13:15:23Z</dcterms:created>
  <dcterms:modified xsi:type="dcterms:W3CDTF">2025-01-28T15:35:10Z</dcterms:modified>
</cp:coreProperties>
</file>